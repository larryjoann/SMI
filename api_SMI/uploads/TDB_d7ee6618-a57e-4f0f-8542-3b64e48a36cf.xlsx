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120" yWindow="-120" windowWidth="29040" windowHeight="15720" activeTab="5"/>
  </bookViews>
  <sheets>
    <sheet name="TDB 2019" sheetId="1" r:id="rId1"/>
    <sheet name="TDB 2020" sheetId="2" r:id="rId2"/>
    <sheet name="TDB 2021" sheetId="7" r:id="rId3"/>
    <sheet name="TDB 2022" sheetId="6" r:id="rId4"/>
    <sheet name="TDB 2023" sheetId="8" r:id="rId5"/>
    <sheet name="TDB 2024" sheetId="9" r:id="rId6"/>
    <sheet name="TDB 2025" sheetId="10" r:id="rId7"/>
    <sheet name="Commentaires TDB 2022" sheetId="5" state="hidden" r:id="rId8"/>
  </sheets>
  <externalReferences>
    <externalReference r:id="rId9"/>
  </externalReferences>
  <definedNames>
    <definedName name="_xlnm._FilterDatabase" localSheetId="0" hidden="1">'TDB 2019'!$A$6:$F$303</definedName>
    <definedName name="_xlnm._FilterDatabase" localSheetId="1" hidden="1">'TDB 2020'!$A$6:$F$333</definedName>
    <definedName name="_xlnm._FilterDatabase" localSheetId="2" hidden="1">'TDB 2021'!$A$6:$F$345</definedName>
    <definedName name="_xlnm._FilterDatabase" localSheetId="3" hidden="1">'TDB 2022'!$A$6:$R$88</definedName>
    <definedName name="_xlnm._FilterDatabase" localSheetId="4" hidden="1">'TDB 2023'!$A$6:$H$317</definedName>
    <definedName name="_xlnm.Print_Titles" localSheetId="0">'TDB 2019'!$5:$6</definedName>
    <definedName name="_xlnm.Print_Titles" localSheetId="1">'TDB 2020'!$5:$6</definedName>
    <definedName name="_xlnm.Print_Titles" localSheetId="2">'TDB 2021'!$5:$6</definedName>
    <definedName name="_xlnm.Print_Titles" localSheetId="3">'TDB 2022'!$5:$6</definedName>
    <definedName name="_xlnm.Print_Titles" localSheetId="4">'TDB 2023'!$5:$6</definedName>
    <definedName name="_xlnm.Print_Area" localSheetId="0">'TDB 2019'!$A$1:$O$65</definedName>
    <definedName name="_xlnm.Print_Area" localSheetId="1">'TDB 2020'!$A$1:$O$94</definedName>
    <definedName name="_xlnm.Print_Area" localSheetId="2">'TDB 2021'!$A$1:$O$107</definedName>
    <definedName name="_xlnm.Print_Area" localSheetId="3">'TDB 2022'!$A$1:$Q$83</definedName>
    <definedName name="_xlnm.Print_Area" localSheetId="4">'TDB 2023'!$A$1:$Q$83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10" l="1"/>
  <c r="Q35" i="9"/>
  <c r="P35" i="9"/>
  <c r="M35" i="9"/>
  <c r="L35" i="9"/>
  <c r="K35" i="9"/>
  <c r="J35" i="9"/>
  <c r="I35" i="9"/>
  <c r="R73" i="8" l="1"/>
  <c r="R64" i="8"/>
  <c r="R59" i="8"/>
  <c r="Q22" i="8" l="1"/>
  <c r="Q23" i="8" s="1"/>
  <c r="Q63" i="8" l="1"/>
  <c r="P63" i="8"/>
  <c r="Q62" i="8"/>
  <c r="P62" i="8"/>
  <c r="Q61" i="8"/>
  <c r="P61" i="8"/>
  <c r="Q60" i="8"/>
  <c r="P60" i="8"/>
  <c r="N63" i="8" l="1"/>
  <c r="M63" i="8"/>
  <c r="L63" i="8"/>
  <c r="N62" i="8"/>
  <c r="M62" i="8"/>
  <c r="L62" i="8"/>
  <c r="N61" i="8"/>
  <c r="M61" i="8"/>
  <c r="L61" i="8"/>
  <c r="N60" i="8"/>
  <c r="M60" i="8"/>
  <c r="L60" i="8"/>
  <c r="G22" i="8" l="1"/>
  <c r="H22" i="8" s="1"/>
  <c r="I22" i="8" s="1"/>
  <c r="J22" i="8" s="1"/>
  <c r="K22" i="8" s="1"/>
  <c r="G20" i="8"/>
  <c r="H20" i="8" s="1"/>
  <c r="I20" i="8" s="1"/>
  <c r="J20" i="8" s="1"/>
  <c r="K20" i="8" s="1"/>
  <c r="L20" i="8" s="1"/>
  <c r="M20" i="8" s="1"/>
  <c r="N20" i="8" s="1"/>
  <c r="G19" i="8"/>
  <c r="H19" i="8" s="1"/>
  <c r="I19" i="8" s="1"/>
  <c r="J19" i="8" s="1"/>
  <c r="K19" i="8" s="1"/>
  <c r="L19" i="8" s="1"/>
  <c r="M19" i="8" s="1"/>
  <c r="N19" i="8" s="1"/>
  <c r="K23" i="8" l="1"/>
  <c r="L22" i="8"/>
  <c r="J23" i="8"/>
  <c r="G22" i="6"/>
  <c r="F19" i="6"/>
  <c r="G19" i="6" s="1"/>
  <c r="H19" i="6" s="1"/>
  <c r="I19" i="6" s="1"/>
  <c r="J19" i="6" s="1"/>
  <c r="K19" i="6" s="1"/>
  <c r="L19" i="6" s="1"/>
  <c r="M19" i="6" s="1"/>
  <c r="N19" i="6" s="1"/>
  <c r="O19" i="6" s="1"/>
  <c r="P19" i="6" s="1"/>
  <c r="Q19" i="6" s="1"/>
  <c r="F18" i="6"/>
  <c r="G18" i="6" s="1"/>
  <c r="H18" i="6" s="1"/>
  <c r="I18" i="6" s="1"/>
  <c r="J18" i="6" s="1"/>
  <c r="K18" i="6" s="1"/>
  <c r="L18" i="6" s="1"/>
  <c r="M18" i="6" s="1"/>
  <c r="N18" i="6" s="1"/>
  <c r="O18" i="6" s="1"/>
  <c r="P18" i="6" s="1"/>
  <c r="Q18" i="6" s="1"/>
  <c r="G23" i="6" l="1"/>
  <c r="F23" i="6"/>
  <c r="L23" i="8"/>
  <c r="M22" i="8"/>
  <c r="M23" i="8" s="1"/>
  <c r="H22" i="6"/>
  <c r="I22" i="6" l="1"/>
  <c r="H23" i="6"/>
  <c r="I23" i="6" l="1"/>
  <c r="J22" i="6"/>
  <c r="K22" i="6" l="1"/>
  <c r="J23" i="6"/>
  <c r="K23" i="6" l="1"/>
  <c r="L22" i="6"/>
  <c r="M22" i="6" l="1"/>
  <c r="L23" i="6"/>
  <c r="M23" i="6" l="1"/>
  <c r="N22" i="6"/>
  <c r="N23" i="6" l="1"/>
  <c r="O22" i="6"/>
  <c r="O23" i="6" l="1"/>
  <c r="P22" i="6"/>
  <c r="Q22" i="6" l="1"/>
  <c r="Q23" i="6" s="1"/>
  <c r="P23" i="6"/>
  <c r="Q63" i="6" l="1"/>
  <c r="Q62" i="6"/>
  <c r="P62" i="6"/>
  <c r="Q61" i="6"/>
  <c r="P60" i="6"/>
  <c r="F67" i="6" l="1"/>
  <c r="O66" i="6"/>
  <c r="L66" i="6"/>
  <c r="I66" i="6"/>
  <c r="N65" i="6"/>
  <c r="L65" i="6"/>
  <c r="K65" i="6"/>
  <c r="J65" i="6"/>
  <c r="I65" i="6"/>
  <c r="H65" i="6"/>
  <c r="G65" i="6"/>
  <c r="F65" i="6"/>
  <c r="G85" i="6" l="1"/>
  <c r="G53" i="6" l="1"/>
  <c r="F53" i="6"/>
  <c r="G52" i="6"/>
  <c r="F52" i="6"/>
  <c r="G51" i="6"/>
  <c r="F51" i="6"/>
  <c r="G50" i="6"/>
  <c r="F50" i="6"/>
  <c r="G49" i="6"/>
  <c r="F49" i="6"/>
  <c r="G48" i="6"/>
  <c r="F48" i="6"/>
  <c r="F35" i="8" l="1"/>
  <c r="F35" i="6"/>
  <c r="O33" i="6" l="1"/>
  <c r="F31" i="6" l="1"/>
  <c r="F70" i="7" l="1"/>
  <c r="E70" i="7"/>
  <c r="D70" i="7"/>
  <c r="M26" i="7"/>
  <c r="J26" i="7"/>
  <c r="G26" i="7"/>
  <c r="J25" i="7"/>
  <c r="D76" i="7"/>
  <c r="O12" i="7"/>
  <c r="N12" i="7"/>
  <c r="M12" i="7"/>
  <c r="L12" i="7"/>
  <c r="K12" i="7"/>
  <c r="J12" i="7"/>
  <c r="I12" i="7"/>
  <c r="H12" i="7"/>
  <c r="G12" i="7"/>
  <c r="F12" i="7"/>
  <c r="E12" i="7"/>
  <c r="D12" i="7"/>
  <c r="J76" i="2"/>
  <c r="M75" i="2"/>
  <c r="O15" i="2"/>
  <c r="N15" i="2"/>
  <c r="M15" i="2"/>
  <c r="L15" i="2"/>
  <c r="K15" i="2"/>
  <c r="J15" i="2"/>
  <c r="I15" i="2"/>
  <c r="H15" i="2"/>
  <c r="G15" i="2"/>
  <c r="F15" i="2"/>
  <c r="E15" i="2"/>
  <c r="D15" i="2"/>
  <c r="O12" i="2"/>
  <c r="N12" i="2"/>
  <c r="M12" i="2"/>
  <c r="L12" i="2"/>
  <c r="K12" i="2"/>
  <c r="J12" i="2"/>
  <c r="I12" i="2"/>
  <c r="H12" i="2"/>
  <c r="G12" i="2"/>
  <c r="F12" i="2"/>
  <c r="E12" i="2"/>
  <c r="D12" i="2"/>
  <c r="O11" i="2"/>
  <c r="P11" i="2" s="1"/>
  <c r="P41" i="2"/>
  <c r="P42" i="2"/>
  <c r="P39" i="2"/>
  <c r="P20" i="2"/>
  <c r="P19" i="2"/>
  <c r="P92" i="2"/>
  <c r="P18" i="2"/>
  <c r="P17" i="2"/>
  <c r="P16" i="2"/>
  <c r="P12" i="2" l="1"/>
</calcChain>
</file>

<file path=xl/comments1.xml><?xml version="1.0" encoding="utf-8"?>
<comments xmlns="http://schemas.openxmlformats.org/spreadsheetml/2006/main">
  <authors>
    <author>Auteur</author>
  </authors>
  <commentList>
    <comment ref="B59" authorId="0" shapeId="0">
      <text>
        <r>
          <rPr>
            <b/>
            <sz val="9"/>
            <color indexed="81"/>
            <rFont val="Tahoma"/>
            <family val="2"/>
          </rPr>
          <t>Auteur:</t>
        </r>
        <r>
          <rPr>
            <sz val="9"/>
            <color indexed="81"/>
            <rFont val="Tahoma"/>
            <family val="2"/>
          </rPr>
          <t xml:space="preserve">
Temps moyen de prise en compte (en heure ou en minute?)</t>
        </r>
      </text>
    </comment>
  </commentList>
</comments>
</file>

<file path=xl/comments2.xml><?xml version="1.0" encoding="utf-8"?>
<comments xmlns="http://schemas.openxmlformats.org/spreadsheetml/2006/main">
  <authors>
    <author>Auteur</author>
  </authors>
  <commentList>
    <comment ref="C16" authorId="0" shapeId="0">
      <text>
        <r>
          <rPr>
            <b/>
            <sz val="9"/>
            <color indexed="81"/>
            <rFont val="Tahoma"/>
            <family val="2"/>
          </rPr>
          <t>Auteur:</t>
        </r>
        <r>
          <rPr>
            <sz val="9"/>
            <color indexed="81"/>
            <rFont val="Tahoma"/>
            <family val="2"/>
          </rPr>
          <t xml:space="preserve">
Cumul? 
Objectif mensuel possible?</t>
        </r>
      </text>
    </comment>
    <comment ref="C18" authorId="0" shapeId="0">
      <text>
        <r>
          <rPr>
            <b/>
            <sz val="9"/>
            <color indexed="81"/>
            <rFont val="Tahoma"/>
            <family val="2"/>
          </rPr>
          <t>Auteur:</t>
        </r>
        <r>
          <rPr>
            <sz val="9"/>
            <color indexed="81"/>
            <rFont val="Tahoma"/>
            <family val="2"/>
          </rPr>
          <t xml:space="preserve">
Pas de contrôle sur terrain car fermeture </t>
        </r>
      </text>
    </comment>
    <comment ref="C22" authorId="0" shapeId="0">
      <text>
        <r>
          <rPr>
            <b/>
            <sz val="9"/>
            <color indexed="81"/>
            <rFont val="Tahoma"/>
            <family val="2"/>
          </rPr>
          <t>Auteur:</t>
        </r>
        <r>
          <rPr>
            <sz val="9"/>
            <color indexed="81"/>
            <rFont val="Tahoma"/>
            <family val="2"/>
          </rPr>
          <t xml:space="preserve">
5 par trimestre auparavant</t>
        </r>
      </text>
    </comment>
    <comment ref="J33" authorId="0" shapeId="0">
      <text>
        <r>
          <rPr>
            <b/>
            <sz val="9"/>
            <color indexed="81"/>
            <rFont val="Tahoma"/>
            <family val="2"/>
          </rPr>
          <t>Auteur:</t>
        </r>
        <r>
          <rPr>
            <sz val="9"/>
            <color indexed="81"/>
            <rFont val="Tahoma"/>
            <family val="2"/>
          </rPr>
          <t xml:space="preserve">
Due confinement: instruction paiement de la DGE</t>
        </r>
      </text>
    </comment>
    <comment ref="J40" authorId="0" shapeId="0">
      <text>
        <r>
          <rPr>
            <b/>
            <sz val="9"/>
            <color indexed="81"/>
            <rFont val="Tahoma"/>
            <family val="2"/>
          </rPr>
          <t>Auteur:</t>
        </r>
        <r>
          <rPr>
            <sz val="9"/>
            <color indexed="81"/>
            <rFont val="Tahoma"/>
            <family val="2"/>
          </rPr>
          <t xml:space="preserve">
A corriger </t>
        </r>
      </text>
    </comment>
    <comment ref="C43" authorId="0" shapeId="0">
      <text>
        <r>
          <rPr>
            <b/>
            <sz val="9"/>
            <color indexed="81"/>
            <rFont val="Tahoma"/>
            <family val="2"/>
          </rPr>
          <t>Auteur:</t>
        </r>
        <r>
          <rPr>
            <sz val="9"/>
            <color indexed="81"/>
            <rFont val="Tahoma"/>
            <family val="2"/>
          </rPr>
          <t xml:space="preserve">
Objectif / seuil minimal</t>
        </r>
      </text>
    </comment>
    <comment ref="C53" authorId="0" shapeId="0">
      <text>
        <r>
          <rPr>
            <b/>
            <sz val="9"/>
            <color indexed="81"/>
            <rFont val="Tahoma"/>
            <family val="2"/>
          </rPr>
          <t>Auteur:</t>
        </r>
        <r>
          <rPr>
            <sz val="9"/>
            <color indexed="81"/>
            <rFont val="Tahoma"/>
            <family val="2"/>
          </rPr>
          <t xml:space="preserve">
Objectif / seuil minimal</t>
        </r>
      </text>
    </comment>
    <comment ref="B65" authorId="0" shapeId="0">
      <text>
        <r>
          <rPr>
            <b/>
            <sz val="9"/>
            <color indexed="81"/>
            <rFont val="Tahoma"/>
            <family val="2"/>
          </rPr>
          <t>Auteur:</t>
        </r>
        <r>
          <rPr>
            <sz val="9"/>
            <color indexed="81"/>
            <rFont val="Tahoma"/>
            <family val="2"/>
          </rPr>
          <t xml:space="preserve">
N/A pour 2020 
le résultat obtenu pendant la période observée n’est pas cohérent, car les chiffres obtenus ne reflétaient pas la réalité</t>
        </r>
      </text>
    </comment>
    <comment ref="D68" authorId="0" shapeId="0">
      <text>
        <r>
          <rPr>
            <b/>
            <sz val="9"/>
            <color indexed="81"/>
            <rFont val="Tahoma"/>
            <family val="2"/>
          </rPr>
          <t>Auteur:</t>
        </r>
        <r>
          <rPr>
            <sz val="9"/>
            <color indexed="81"/>
            <rFont val="Tahoma"/>
            <family val="2"/>
          </rPr>
          <t xml:space="preserve">
Etat : Objectifs non atteint // Cause : délai de traitement au niveau des Directions demanderesses trop longue // Actions : information préalable du planning de traitement du dossier dès le lancement de l'avis de recrutement - rappel du délai de traitement </t>
        </r>
      </text>
    </comment>
    <comment ref="J68" authorId="0" shapeId="0">
      <text>
        <r>
          <rPr>
            <b/>
            <sz val="9"/>
            <color indexed="81"/>
            <rFont val="Tahoma"/>
            <family val="2"/>
          </rPr>
          <t>Auteur:</t>
        </r>
        <r>
          <rPr>
            <sz val="9"/>
            <color indexed="81"/>
            <rFont val="Tahoma"/>
            <family val="2"/>
          </rPr>
          <t xml:space="preserve">
suspension et reprise recrutement - délai entre décision d'embauche et prise de service</t>
        </r>
      </text>
    </comment>
    <comment ref="C69" authorId="0" shapeId="0">
      <text>
        <r>
          <rPr>
            <b/>
            <sz val="9"/>
            <color indexed="81"/>
            <rFont val="Tahoma"/>
            <family val="2"/>
          </rPr>
          <t>Auteur:</t>
        </r>
        <r>
          <rPr>
            <sz val="9"/>
            <color indexed="81"/>
            <rFont val="Tahoma"/>
            <family val="2"/>
          </rPr>
          <t xml:space="preserve">
Objectif : en moyenne 16h de formation par an par employé soit (265*16)h // Action : modification du suivi des objectifs en annuel au lieu de semestriel mais mise à jour des données de réalisation à faire mensuellement</t>
        </r>
      </text>
    </comment>
    <comment ref="J75" authorId="0" shapeId="0">
      <text>
        <r>
          <rPr>
            <b/>
            <sz val="9"/>
            <color indexed="81"/>
            <rFont val="Tahoma"/>
            <family val="2"/>
          </rPr>
          <t>Auteur:</t>
        </r>
        <r>
          <rPr>
            <sz val="9"/>
            <color indexed="81"/>
            <rFont val="Tahoma"/>
            <family val="2"/>
          </rPr>
          <t xml:space="preserve">
Compensation SMS de sensibilisation
</t>
        </r>
      </text>
    </comment>
    <comment ref="D76" authorId="0" shapeId="0">
      <text>
        <r>
          <rPr>
            <b/>
            <sz val="9"/>
            <color indexed="81"/>
            <rFont val="Tahoma"/>
            <family val="2"/>
          </rPr>
          <t>Auteur:</t>
        </r>
        <r>
          <rPr>
            <sz val="9"/>
            <color indexed="81"/>
            <rFont val="Tahoma"/>
            <family val="2"/>
          </rPr>
          <t xml:space="preserve">
Bloqué par le contexte COVID</t>
        </r>
      </text>
    </comment>
    <comment ref="C78" authorId="0" shapeId="0">
      <text>
        <r>
          <rPr>
            <sz val="9"/>
            <color indexed="81"/>
            <rFont val="Tahoma"/>
            <family val="2"/>
          </rPr>
          <t>REMARQUE SGS: 
Le temps de traitement d'un FNF dépend de l'évènement et/ou de l'ampleur des dégats. (Travaux, paperasse administrative) Délai indéterminable.</t>
        </r>
      </text>
    </comment>
    <comment ref="B82" authorId="0" shapeId="0">
      <text>
        <r>
          <rPr>
            <b/>
            <sz val="9"/>
            <color indexed="81"/>
            <rFont val="Tahoma"/>
            <family val="2"/>
          </rPr>
          <t>Auteur:</t>
        </r>
        <r>
          <rPr>
            <sz val="9"/>
            <color indexed="81"/>
            <rFont val="Tahoma"/>
            <family val="2"/>
          </rPr>
          <t xml:space="preserve">
Temps moyen de prise en compte (en heure ou en minute?)</t>
        </r>
      </text>
    </comment>
    <comment ref="J92" authorId="0" shapeId="0">
      <text>
        <r>
          <rPr>
            <b/>
            <sz val="9"/>
            <color indexed="81"/>
            <rFont val="Tahoma"/>
            <family val="2"/>
          </rPr>
          <t>Auteur:</t>
        </r>
        <r>
          <rPr>
            <sz val="9"/>
            <color indexed="81"/>
            <rFont val="Tahoma"/>
            <family val="2"/>
          </rPr>
          <t xml:space="preserve">
situation COVID-19 Import pièces critiques</t>
        </r>
      </text>
    </comment>
    <comment ref="J94" authorId="0" shapeId="0">
      <text>
        <r>
          <rPr>
            <b/>
            <sz val="9"/>
            <color indexed="81"/>
            <rFont val="Tahoma"/>
            <family val="2"/>
          </rPr>
          <t>Auteur:</t>
        </r>
        <r>
          <rPr>
            <sz val="9"/>
            <color indexed="81"/>
            <rFont val="Tahoma"/>
            <family val="2"/>
          </rPr>
          <t xml:space="preserve">
Fin sensibilisation NC</t>
        </r>
      </text>
    </comment>
    <comment ref="M94" authorId="0" shapeId="0">
      <text>
        <r>
          <rPr>
            <b/>
            <sz val="9"/>
            <color indexed="81"/>
            <rFont val="Tahoma"/>
            <family val="2"/>
          </rPr>
          <t>Auteur:</t>
        </r>
        <r>
          <rPr>
            <sz val="9"/>
            <color indexed="81"/>
            <rFont val="Tahoma"/>
            <family val="2"/>
          </rPr>
          <t xml:space="preserve">
Tous les NC d'audit dec 2020 + 1 NC FIN</t>
        </r>
      </text>
    </comment>
  </commentList>
</comments>
</file>

<file path=xl/comments3.xml><?xml version="1.0" encoding="utf-8"?>
<comments xmlns="http://schemas.openxmlformats.org/spreadsheetml/2006/main">
  <authors>
    <author>Auteur</author>
  </authors>
  <commentList>
    <comment ref="C11" authorId="0" shapeId="0">
      <text>
        <r>
          <rPr>
            <b/>
            <sz val="9"/>
            <color indexed="81"/>
            <rFont val="Tahoma"/>
            <family val="2"/>
          </rPr>
          <t>Auteur:</t>
        </r>
        <r>
          <rPr>
            <sz val="9"/>
            <color indexed="81"/>
            <rFont val="Tahoma"/>
            <family val="2"/>
          </rPr>
          <t xml:space="preserve">
Voir source des chiffres</t>
        </r>
      </text>
    </comment>
    <comment ref="C18" authorId="0" shapeId="0">
      <text>
        <r>
          <rPr>
            <b/>
            <sz val="9"/>
            <color indexed="81"/>
            <rFont val="Tahoma"/>
            <family val="2"/>
          </rPr>
          <t>Auteur:</t>
        </r>
        <r>
          <rPr>
            <sz val="9"/>
            <color indexed="81"/>
            <rFont val="Tahoma"/>
            <family val="2"/>
          </rPr>
          <t xml:space="preserve">
Pas de contrôle sur terrain car fermeture </t>
        </r>
      </text>
    </comment>
    <comment ref="H21" authorId="0" shapeId="0">
      <text>
        <r>
          <rPr>
            <b/>
            <sz val="9"/>
            <color indexed="81"/>
            <rFont val="Tahoma"/>
            <family val="2"/>
          </rPr>
          <t>Auteur:</t>
        </r>
        <r>
          <rPr>
            <sz val="9"/>
            <color indexed="81"/>
            <rFont val="Tahoma"/>
            <family val="2"/>
          </rPr>
          <t xml:space="preserve">
Indicateur abandonné 
</t>
        </r>
      </text>
    </comment>
    <comment ref="C25" authorId="0" shapeId="0">
      <text>
        <r>
          <rPr>
            <b/>
            <sz val="9"/>
            <color indexed="81"/>
            <rFont val="Tahoma"/>
            <family val="2"/>
          </rPr>
          <t>Auteur:</t>
        </r>
        <r>
          <rPr>
            <sz val="9"/>
            <color indexed="81"/>
            <rFont val="Tahoma"/>
            <family val="2"/>
          </rPr>
          <t xml:space="preserve">
5 par trimestre auparavant</t>
        </r>
      </text>
    </comment>
    <comment ref="C26" authorId="0" shapeId="0">
      <text>
        <r>
          <rPr>
            <b/>
            <sz val="9"/>
            <color indexed="81"/>
            <rFont val="Tahoma"/>
            <family val="2"/>
          </rPr>
          <t>Auteur:</t>
        </r>
        <r>
          <rPr>
            <sz val="9"/>
            <color indexed="81"/>
            <rFont val="Tahoma"/>
            <family val="2"/>
          </rPr>
          <t xml:space="preserve">
2 ONE
8 FNF</t>
        </r>
      </text>
    </comment>
    <comment ref="M26" authorId="0" shapeId="0">
      <text>
        <r>
          <rPr>
            <b/>
            <sz val="9"/>
            <color indexed="81"/>
            <rFont val="Tahoma"/>
            <family val="2"/>
          </rPr>
          <t>Auteur:</t>
        </r>
        <r>
          <rPr>
            <sz val="9"/>
            <color indexed="81"/>
            <rFont val="Tahoma"/>
            <family val="2"/>
          </rPr>
          <t xml:space="preserve">
Reprise trafic</t>
        </r>
      </text>
    </comment>
    <comment ref="D30" authorId="0" shapeId="0">
      <text>
        <r>
          <rPr>
            <b/>
            <sz val="9"/>
            <color indexed="81"/>
            <rFont val="Tahoma"/>
            <family val="2"/>
          </rPr>
          <t>Auteur:</t>
        </r>
        <r>
          <rPr>
            <sz val="9"/>
            <color indexed="81"/>
            <rFont val="Tahoma"/>
            <family val="2"/>
          </rPr>
          <t xml:space="preserve">
reste 7 lots instables en cours de gestion par DT. Actions suivi dans rapport PAR</t>
        </r>
      </text>
    </comment>
    <comment ref="D31" authorId="0" shapeId="0">
      <text>
        <r>
          <rPr>
            <b/>
            <sz val="9"/>
            <color indexed="81"/>
            <rFont val="Tahoma"/>
            <family val="2"/>
          </rPr>
          <t>Auteur:</t>
        </r>
        <r>
          <rPr>
            <sz val="9"/>
            <color indexed="81"/>
            <rFont val="Tahoma"/>
            <family val="2"/>
          </rPr>
          <t xml:space="preserve">
clôture du PRMS retardée par la fermeture des frontières alors que la plupart des activités des PAPs sont tributaires de l’ouverture de l’aéroport. Actions suivi dans rapport PRMS</t>
        </r>
      </text>
    </comment>
    <comment ref="G32" authorId="0" shapeId="0">
      <text>
        <r>
          <rPr>
            <b/>
            <sz val="9"/>
            <color indexed="81"/>
            <rFont val="Tahoma"/>
            <family val="2"/>
          </rPr>
          <t>Auteur:</t>
        </r>
        <r>
          <rPr>
            <sz val="9"/>
            <color indexed="81"/>
            <rFont val="Tahoma"/>
            <family val="2"/>
          </rPr>
          <t xml:space="preserve">
Principalement dû au retard d’envoi des reporting suivants : balance mensuelle ADP (DAF), Sponsors and operator’s report (DAF), rapport social (DQH3SE)</t>
        </r>
      </text>
    </comment>
    <comment ref="D36" authorId="0" shapeId="0">
      <text>
        <r>
          <rPr>
            <b/>
            <sz val="9"/>
            <color indexed="81"/>
            <rFont val="Tahoma"/>
            <family val="2"/>
          </rPr>
          <t>Auteur:</t>
        </r>
        <r>
          <rPr>
            <sz val="9"/>
            <color indexed="81"/>
            <rFont val="Tahoma"/>
            <family val="2"/>
          </rPr>
          <t xml:space="preserve">
 JANV 21: l'Opavi( les paiements fournisseurs en lot) du 10 et 25 janv 21 ont été repoussés en fév 21, en attente d'injection de fonds
FEV 21: paiement géré au fur et à mesure selon la disponibilité de la trésorerie &amp; les priorités.</t>
        </r>
      </text>
    </comment>
    <comment ref="G36" authorId="0" shapeId="0">
      <text>
        <r>
          <rPr>
            <b/>
            <sz val="9"/>
            <color indexed="81"/>
            <rFont val="Tahoma"/>
            <family val="2"/>
          </rPr>
          <t>Auteur:</t>
        </r>
        <r>
          <rPr>
            <sz val="9"/>
            <color indexed="81"/>
            <rFont val="Tahoma"/>
            <family val="2"/>
          </rPr>
          <t xml:space="preserve">
AVRIL 21 :  aucun retard
MAI 21:  l'Opavi du 250521 &amp; 100521 ont  attendu le rapatriement du 210621 et n’ont pu être effectif que le 230621
JUIN 21: aucun retard</t>
        </r>
      </text>
    </comment>
    <comment ref="J36" authorId="0" shapeId="0">
      <text>
        <r>
          <rPr>
            <b/>
            <sz val="9"/>
            <color indexed="81"/>
            <rFont val="Tahoma"/>
            <family val="2"/>
          </rPr>
          <t>Auteur:</t>
        </r>
        <r>
          <rPr>
            <sz val="9"/>
            <color indexed="81"/>
            <rFont val="Tahoma"/>
            <family val="2"/>
          </rPr>
          <t xml:space="preserve">
JUILLET 21 :pour les Opavi du 100721, les charges réccurentes ont été effectifs le 190721 et les non réccurentes 270721. 
Le paiement de l’opavi du 250721 a été effectué le 100821
AOUT 21 : aucun retard
SEPTEMBRE 21 : Le paiement de l’opavi du 100921 a été effectué le 240921 
 Le paiement de l’opavi du 250921 a été effectué le 051021.</t>
        </r>
      </text>
    </comment>
    <comment ref="M36" authorId="0" shapeId="0">
      <text>
        <r>
          <rPr>
            <b/>
            <sz val="9"/>
            <color indexed="81"/>
            <rFont val="Tahoma"/>
            <family val="2"/>
          </rPr>
          <t>Auteur:</t>
        </r>
        <r>
          <rPr>
            <sz val="9"/>
            <color indexed="81"/>
            <rFont val="Tahoma"/>
            <family val="2"/>
          </rPr>
          <t xml:space="preserve">
OCTOBRE 21 : Le paiement de l’opavi du 101021 a été effectué que le 291021 pour les récurrentes et le  161121 pour les nons reccurrentes
Le paiement de l’opavi du 251021 a été effectué que le 161121 et le 081121 
A réception des rapatriements de fonds les paiements JOVENA et les assurances ont été priorisés, d’où le décalage des autres paiements en N+1.
NOVEMBRE et DECEMBRE 21 : le paiement des opavis de ces deux mois a été retardé en raison de l’attente de rapatriement et n’a pu être effectif que le 190122 et le 260122.</t>
        </r>
      </text>
    </comment>
    <comment ref="M37" authorId="0" shapeId="0">
      <text>
        <r>
          <rPr>
            <b/>
            <sz val="9"/>
            <color indexed="81"/>
            <rFont val="Tahoma"/>
            <family val="2"/>
          </rPr>
          <t>Auteur:</t>
        </r>
        <r>
          <rPr>
            <sz val="9"/>
            <color indexed="81"/>
            <rFont val="Tahoma"/>
            <family val="2"/>
          </rPr>
          <t xml:space="preserve">
Taux de recouvrement très faible pour la période de 2021 à cause du contexte COVID, les clients deviennent des mauvais payeurs</t>
        </r>
      </text>
    </comment>
    <comment ref="D44" authorId="0" shapeId="0">
      <text>
        <r>
          <rPr>
            <b/>
            <sz val="9"/>
            <color indexed="81"/>
            <rFont val="Tahoma"/>
            <family val="2"/>
          </rPr>
          <t>Auteur:</t>
        </r>
        <r>
          <rPr>
            <sz val="9"/>
            <color indexed="81"/>
            <rFont val="Tahoma"/>
            <family val="2"/>
          </rPr>
          <t xml:space="preserve">
gain de 18% sur total travaux
</t>
        </r>
      </text>
    </comment>
    <comment ref="C45" authorId="0" shapeId="0">
      <text>
        <r>
          <rPr>
            <b/>
            <sz val="9"/>
            <color indexed="81"/>
            <rFont val="Tahoma"/>
            <family val="2"/>
          </rPr>
          <t>Auteur:</t>
        </r>
        <r>
          <rPr>
            <sz val="9"/>
            <color indexed="81"/>
            <rFont val="Tahoma"/>
            <family val="2"/>
          </rPr>
          <t xml:space="preserve">
Objectif / seuil minimal</t>
        </r>
      </text>
    </comment>
    <comment ref="C55" authorId="0" shapeId="0">
      <text>
        <r>
          <rPr>
            <b/>
            <sz val="9"/>
            <color indexed="81"/>
            <rFont val="Tahoma"/>
            <family val="2"/>
          </rPr>
          <t>Auteur:</t>
        </r>
        <r>
          <rPr>
            <sz val="9"/>
            <color indexed="81"/>
            <rFont val="Tahoma"/>
            <family val="2"/>
          </rPr>
          <t xml:space="preserve">
Objectif / seuil minimal</t>
        </r>
      </text>
    </comment>
    <comment ref="B68" authorId="0" shapeId="0">
      <text>
        <r>
          <rPr>
            <b/>
            <sz val="9"/>
            <color indexed="81"/>
            <rFont val="Tahoma"/>
            <family val="2"/>
          </rPr>
          <t>Auteur:</t>
        </r>
        <r>
          <rPr>
            <sz val="9"/>
            <color indexed="81"/>
            <rFont val="Tahoma"/>
            <family val="2"/>
          </rPr>
          <t xml:space="preserve">
Indicateurs à vérifier si à maintenir, à changer ou à mettre à jour. Voir également comment différencier les indicateurs pour le traitement des vols nationaux et internationaux
Intégrer le nettoyage parmis les indicateurs
(Possibilité d'audit en deux temps)</t>
        </r>
      </text>
    </comment>
    <comment ref="B69" authorId="0" shapeId="0">
      <text>
        <r>
          <rPr>
            <b/>
            <sz val="9"/>
            <color indexed="81"/>
            <rFont val="Tahoma"/>
            <family val="2"/>
          </rPr>
          <t>Auteur:</t>
        </r>
        <r>
          <rPr>
            <sz val="9"/>
            <color indexed="81"/>
            <rFont val="Tahoma"/>
            <family val="2"/>
          </rPr>
          <t xml:space="preserve">
Indicateurs à vérifier si à maintenir, à changer ou à mettre à jour. Voir également comment différencier les indicateurs pour le traitement des vols nationaux et internationaux
Intégrer le nettoyage parmis les indicateurs
(Possibilité d'audit en deux temps)</t>
        </r>
      </text>
    </comment>
    <comment ref="C75" authorId="0" shapeId="0">
      <text>
        <r>
          <rPr>
            <b/>
            <sz val="9"/>
            <color indexed="81"/>
            <rFont val="Tahoma"/>
            <family val="2"/>
          </rPr>
          <t>Auteur:</t>
        </r>
        <r>
          <rPr>
            <sz val="9"/>
            <color indexed="81"/>
            <rFont val="Tahoma"/>
            <family val="2"/>
          </rPr>
          <t xml:space="preserve">
Objectif : en moyenne 16h de formation par an par employé soit (265*16)h // Action : modification du suivi des objectifs en annuel au lieu de semestriel mais mise à jour des données de réalisation à faire mensuellement</t>
        </r>
      </text>
    </comment>
    <comment ref="C86" authorId="0" shapeId="0">
      <text>
        <r>
          <rPr>
            <sz val="9"/>
            <color indexed="81"/>
            <rFont val="Tahoma"/>
            <family val="2"/>
          </rPr>
          <t>REMARQUE SGS: 
Le temps de traitement d'un FNF dépend de l'évènement et/ou de l'ampleur des dégats. (Travaux, paperasse administrative) Délai indéterminable.</t>
        </r>
      </text>
    </comment>
    <comment ref="A105"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D106" authorId="0" shapeId="0">
      <text>
        <r>
          <rPr>
            <b/>
            <sz val="9"/>
            <color indexed="81"/>
            <rFont val="Tahoma"/>
            <family val="2"/>
          </rPr>
          <t>Auteur:</t>
        </r>
        <r>
          <rPr>
            <sz val="9"/>
            <color indexed="81"/>
            <rFont val="Tahoma"/>
            <family val="2"/>
          </rPr>
          <t xml:space="preserve">
Reste processus achat</t>
        </r>
      </text>
    </comment>
    <comment ref="D111" authorId="0" shapeId="0">
      <text>
        <r>
          <rPr>
            <b/>
            <sz val="9"/>
            <color indexed="81"/>
            <rFont val="Tahoma"/>
            <family val="2"/>
          </rPr>
          <t>Auteur:</t>
        </r>
        <r>
          <rPr>
            <sz val="9"/>
            <color indexed="81"/>
            <rFont val="Tahoma"/>
            <family val="2"/>
          </rPr>
          <t xml:space="preserve">
A statuer avec la disponibilité de tous les données</t>
        </r>
      </text>
    </comment>
  </commentList>
</comments>
</file>

<file path=xl/comments4.xml><?xml version="1.0" encoding="utf-8"?>
<comments xmlns="http://schemas.openxmlformats.org/spreadsheetml/2006/main">
  <authors>
    <author>Auteur</author>
  </authors>
  <commentList>
    <comment ref="D7" authorId="0" shapeId="0">
      <text>
        <r>
          <rPr>
            <b/>
            <sz val="9"/>
            <color indexed="81"/>
            <rFont val="Tahoma"/>
            <family val="2"/>
          </rPr>
          <t>Auteur:</t>
        </r>
        <r>
          <rPr>
            <sz val="9"/>
            <color indexed="81"/>
            <rFont val="Tahoma"/>
            <family val="2"/>
          </rPr>
          <t xml:space="preserve">
A revoir à la hausse</t>
        </r>
      </text>
    </comment>
    <comment ref="B8" authorId="0" shapeId="0">
      <text>
        <r>
          <rPr>
            <b/>
            <sz val="9"/>
            <color indexed="81"/>
            <rFont val="Tahoma"/>
            <family val="2"/>
          </rPr>
          <t>Auteur:</t>
        </r>
        <r>
          <rPr>
            <sz val="9"/>
            <color indexed="81"/>
            <rFont val="Tahoma"/>
            <family val="2"/>
          </rPr>
          <t xml:space="preserve">
A voir si à enlever</t>
        </r>
      </text>
    </comment>
    <comment ref="G10" authorId="0" shapeId="0">
      <text>
        <r>
          <rPr>
            <b/>
            <sz val="9"/>
            <color indexed="81"/>
            <rFont val="Tahoma"/>
            <family val="2"/>
          </rPr>
          <t>Auteur:</t>
        </r>
        <r>
          <rPr>
            <sz val="9"/>
            <color indexed="81"/>
            <rFont val="Tahoma"/>
            <family val="2"/>
          </rPr>
          <t xml:space="preserve">
Voir avec Tony</t>
        </r>
      </text>
    </comment>
    <comment ref="A14"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D40" authorId="0" shapeId="0">
      <text>
        <r>
          <rPr>
            <b/>
            <sz val="9"/>
            <color indexed="81"/>
            <rFont val="Tahoma"/>
            <family val="2"/>
          </rPr>
          <t>Auteur:</t>
        </r>
        <r>
          <rPr>
            <sz val="9"/>
            <color indexed="81"/>
            <rFont val="Tahoma"/>
            <family val="2"/>
          </rPr>
          <t xml:space="preserve">
Modification indicateurs, garder le délai de 30j sans splitter RDIA &amp; Autres RED car les 2 sont mis sur une seule facture et donc même échéance</t>
        </r>
      </text>
    </comment>
    <comment ref="B48" authorId="0" shapeId="0">
      <text>
        <r>
          <rPr>
            <b/>
            <sz val="9"/>
            <color indexed="81"/>
            <rFont val="Tahoma"/>
            <family val="2"/>
          </rPr>
          <t>Auteur:</t>
        </r>
        <r>
          <rPr>
            <sz val="9"/>
            <color indexed="81"/>
            <rFont val="Tahoma"/>
            <family val="2"/>
          </rPr>
          <t xml:space="preserve">
moyenne EC</t>
        </r>
      </text>
    </comment>
    <comment ref="D48" authorId="0" shapeId="0">
      <text>
        <r>
          <rPr>
            <b/>
            <sz val="9"/>
            <color indexed="81"/>
            <rFont val="Tahoma"/>
            <family val="2"/>
          </rPr>
          <t>Auteur:</t>
        </r>
        <r>
          <rPr>
            <sz val="9"/>
            <color indexed="81"/>
            <rFont val="Tahoma"/>
            <family val="2"/>
          </rPr>
          <t xml:space="preserve">
Objectif / seuil minimal</t>
        </r>
      </text>
    </comment>
    <comment ref="A65" authorId="0" shapeId="0">
      <text>
        <r>
          <rPr>
            <b/>
            <sz val="9"/>
            <color indexed="81"/>
            <rFont val="Tahoma"/>
            <family val="2"/>
          </rPr>
          <t>Auteur:</t>
        </r>
        <r>
          <rPr>
            <sz val="9"/>
            <color indexed="81"/>
            <rFont val="Tahoma"/>
            <family val="2"/>
          </rPr>
          <t xml:space="preserve">
Voir les contentieux liés aux employés</t>
        </r>
      </text>
    </comment>
    <comment ref="F70" authorId="0" shapeId="0">
      <text>
        <r>
          <rPr>
            <b/>
            <sz val="9"/>
            <color indexed="81"/>
            <rFont val="Tahoma"/>
            <family val="2"/>
          </rPr>
          <t>Auteur:</t>
        </r>
        <r>
          <rPr>
            <sz val="9"/>
            <color indexed="81"/>
            <rFont val="Tahoma"/>
            <family val="2"/>
          </rPr>
          <t xml:space="preserve">
21 jours de perdu suite accident décembre</t>
        </r>
      </text>
    </comment>
    <comment ref="I74" authorId="0" shapeId="0">
      <text>
        <r>
          <rPr>
            <b/>
            <sz val="9"/>
            <color indexed="81"/>
            <rFont val="Tahoma"/>
            <family val="2"/>
          </rPr>
          <t>Auteur:</t>
        </r>
        <r>
          <rPr>
            <sz val="9"/>
            <color indexed="81"/>
            <rFont val="Tahoma"/>
            <family val="2"/>
          </rPr>
          <t xml:space="preserve">
groupe 2 (organisme publics); groupe 6 (clients) non communiqué</t>
        </r>
      </text>
    </comment>
    <comment ref="L74" authorId="0" shapeId="0">
      <text>
        <r>
          <rPr>
            <b/>
            <sz val="9"/>
            <color indexed="81"/>
            <rFont val="Tahoma"/>
            <family val="2"/>
          </rPr>
          <t>Auteur:</t>
        </r>
        <r>
          <rPr>
            <sz val="9"/>
            <color indexed="81"/>
            <rFont val="Tahoma"/>
            <family val="2"/>
          </rPr>
          <t xml:space="preserve">
groupe 2 (organisme publics); groupe 6 (clients) non communiqué</t>
        </r>
      </text>
    </comment>
  </commentList>
</comments>
</file>

<file path=xl/comments5.xml><?xml version="1.0" encoding="utf-8"?>
<comments xmlns="http://schemas.openxmlformats.org/spreadsheetml/2006/main">
  <authors>
    <author>Auteur</author>
  </authors>
  <commentList>
    <comment ref="D7" authorId="0" shapeId="0">
      <text>
        <r>
          <rPr>
            <b/>
            <sz val="9"/>
            <color indexed="81"/>
            <rFont val="Tahoma"/>
            <family val="2"/>
          </rPr>
          <t>Auteur:</t>
        </r>
        <r>
          <rPr>
            <sz val="9"/>
            <color indexed="81"/>
            <rFont val="Tahoma"/>
            <family val="2"/>
          </rPr>
          <t xml:space="preserve">
A revoir à la hausse</t>
        </r>
      </text>
    </comment>
    <comment ref="A16"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N33" authorId="0" shapeId="0">
      <text>
        <r>
          <rPr>
            <b/>
            <sz val="9"/>
            <color indexed="81"/>
            <rFont val="Tahoma"/>
            <family val="2"/>
          </rPr>
          <t>TNR: 18,73% (531kgs) sur 2835kgs
NOS: début octobre avec Greenland</t>
        </r>
        <r>
          <rPr>
            <sz val="9"/>
            <color indexed="81"/>
            <rFont val="Tahoma"/>
            <family val="2"/>
          </rPr>
          <t xml:space="preserve">
</t>
        </r>
      </text>
    </comment>
    <comment ref="O33" authorId="0" shapeId="0">
      <text>
        <r>
          <rPr>
            <b/>
            <sz val="9"/>
            <color indexed="81"/>
            <rFont val="Tahoma"/>
            <family val="2"/>
          </rPr>
          <t>TNR: 9%(266kgs) sur 3112kgs
NOS: 11,40%(130 sur 1140 kg)</t>
        </r>
      </text>
    </comment>
    <comment ref="P33" authorId="0" shapeId="0">
      <text>
        <r>
          <rPr>
            <b/>
            <sz val="9"/>
            <color indexed="81"/>
            <rFont val="Tahoma"/>
            <family val="2"/>
          </rPr>
          <t>Auteur:</t>
        </r>
        <r>
          <rPr>
            <sz val="9"/>
            <color indexed="81"/>
            <rFont val="Tahoma"/>
            <family val="2"/>
          </rPr>
          <t xml:space="preserve">
TNR : 8% (344,7 stcv+38 kopakelatra/3388)
NOS : 4,27% (30 sur 701 kg)</t>
        </r>
      </text>
    </comment>
    <comment ref="Q33" authorId="0" shapeId="0">
      <text>
        <r>
          <rPr>
            <b/>
            <sz val="9"/>
            <color indexed="81"/>
            <rFont val="Tahoma"/>
            <family val="2"/>
          </rPr>
          <t>Auteur:</t>
        </r>
        <r>
          <rPr>
            <sz val="9"/>
            <color indexed="81"/>
            <rFont val="Tahoma"/>
            <family val="2"/>
          </rPr>
          <t xml:space="preserve">
TNR : 17,20% (411,13/2390)
NOS  /15,10% (92/609kg)
</t>
        </r>
      </text>
    </comment>
    <comment ref="O36" authorId="0" shapeId="0">
      <text>
        <r>
          <rPr>
            <b/>
            <sz val="9"/>
            <color indexed="81"/>
            <rFont val="Tahoma"/>
            <family val="2"/>
          </rPr>
          <t>Données disponibles fin février</t>
        </r>
        <r>
          <rPr>
            <sz val="9"/>
            <color indexed="81"/>
            <rFont val="Tahoma"/>
            <family val="2"/>
          </rPr>
          <t xml:space="preserve">
</t>
        </r>
      </text>
    </comment>
    <comment ref="D40" authorId="0" shapeId="0">
      <text>
        <r>
          <rPr>
            <b/>
            <sz val="9"/>
            <color indexed="81"/>
            <rFont val="Tahoma"/>
            <family val="2"/>
          </rPr>
          <t>Auteur:</t>
        </r>
        <r>
          <rPr>
            <sz val="9"/>
            <color indexed="81"/>
            <rFont val="Tahoma"/>
            <family val="2"/>
          </rPr>
          <t xml:space="preserve">
Modification indicateurs, garder le délai de 30j sans splitter RDIA &amp; Autres RED car les 2 sont mis sur une seule facture et donc même échéance</t>
        </r>
      </text>
    </comment>
    <comment ref="B48" authorId="0" shapeId="0">
      <text>
        <r>
          <rPr>
            <b/>
            <sz val="9"/>
            <color indexed="81"/>
            <rFont val="Tahoma"/>
            <family val="2"/>
          </rPr>
          <t>Auteur:</t>
        </r>
        <r>
          <rPr>
            <sz val="9"/>
            <color indexed="81"/>
            <rFont val="Tahoma"/>
            <family val="2"/>
          </rPr>
          <t xml:space="preserve">
moyenne EC</t>
        </r>
      </text>
    </comment>
    <comment ref="D48" authorId="0" shapeId="0">
      <text>
        <r>
          <rPr>
            <b/>
            <sz val="9"/>
            <color indexed="81"/>
            <rFont val="Tahoma"/>
            <family val="2"/>
          </rPr>
          <t>Auteur:</t>
        </r>
        <r>
          <rPr>
            <sz val="9"/>
            <color indexed="81"/>
            <rFont val="Tahoma"/>
            <family val="2"/>
          </rPr>
          <t xml:space="preserve">
Objectif / seuil minimal</t>
        </r>
      </text>
    </comment>
    <comment ref="K48" authorId="0" shapeId="0">
      <text>
        <r>
          <rPr>
            <b/>
            <sz val="9"/>
            <color indexed="81"/>
            <rFont val="Tahoma"/>
            <family val="2"/>
          </rPr>
          <t xml:space="preserve">Données disponibles le 15 juillet
</t>
        </r>
        <r>
          <rPr>
            <sz val="9"/>
            <color indexed="81"/>
            <rFont val="Tahoma"/>
            <family val="2"/>
          </rPr>
          <t xml:space="preserve">
</t>
        </r>
      </text>
    </comment>
    <comment ref="O61" authorId="0" shapeId="0">
      <text>
        <r>
          <rPr>
            <b/>
            <sz val="9"/>
            <color indexed="81"/>
            <rFont val="Tahoma"/>
            <family val="2"/>
          </rPr>
          <t>Auteur:</t>
        </r>
        <r>
          <rPr>
            <sz val="9"/>
            <color indexed="81"/>
            <rFont val="Tahoma"/>
            <family val="2"/>
          </rPr>
          <t xml:space="preserve">
Suite à des IRGHO, la durée moyenne detraitemnet est passée à 02h51</t>
        </r>
      </text>
    </comment>
    <comment ref="P61" authorId="0" shapeId="0">
      <text>
        <r>
          <rPr>
            <b/>
            <sz val="9"/>
            <color indexed="81"/>
            <rFont val="Tahoma"/>
            <family val="2"/>
          </rPr>
          <t>Auteur:</t>
        </r>
        <r>
          <rPr>
            <sz val="9"/>
            <color indexed="81"/>
            <rFont val="Tahoma"/>
            <family val="2"/>
          </rPr>
          <t xml:space="preserve">
suite à plusieurs IRGHO, la durée moyenne  à 02h58</t>
        </r>
      </text>
    </comment>
    <comment ref="A65" authorId="0" shapeId="0">
      <text>
        <r>
          <rPr>
            <b/>
            <sz val="9"/>
            <color indexed="81"/>
            <rFont val="Tahoma"/>
            <family val="2"/>
          </rPr>
          <t>Auteur:</t>
        </r>
        <r>
          <rPr>
            <sz val="9"/>
            <color indexed="81"/>
            <rFont val="Tahoma"/>
            <family val="2"/>
          </rPr>
          <t xml:space="preserve">
Voir les contentieux liés aux employés</t>
        </r>
      </text>
    </comment>
    <comment ref="Q73" authorId="0" shapeId="0">
      <text>
        <r>
          <rPr>
            <b/>
            <sz val="9"/>
            <color indexed="81"/>
            <rFont val="Tahoma"/>
            <family val="2"/>
          </rPr>
          <t>Auteur:</t>
        </r>
        <r>
          <rPr>
            <sz val="9"/>
            <color indexed="81"/>
            <rFont val="Tahoma"/>
            <family val="2"/>
          </rPr>
          <t xml:space="preserve">
le reste est engagé mais  en provision</t>
        </r>
      </text>
    </comment>
    <comment ref="O74" authorId="0" shapeId="0">
      <text>
        <r>
          <rPr>
            <b/>
            <sz val="9"/>
            <color indexed="81"/>
            <rFont val="Tahoma"/>
            <family val="2"/>
          </rPr>
          <t>Auteur:</t>
        </r>
        <r>
          <rPr>
            <sz val="9"/>
            <color indexed="81"/>
            <rFont val="Tahoma"/>
            <family val="2"/>
          </rPr>
          <t xml:space="preserve">
pour fin janvier</t>
        </r>
      </text>
    </comment>
    <comment ref="P82" authorId="0" shapeId="0">
      <text>
        <r>
          <rPr>
            <b/>
            <sz val="9"/>
            <color indexed="81"/>
            <rFont val="Tahoma"/>
            <family val="2"/>
          </rPr>
          <t>Nathalie Doriane RALAIARIMALALA (DSI): Exemples
14787: demande de wifi rguest, traitement du ticket en spontané, demande envoyée 3 semaines avant
14875: retard du traitement de la demande suite attente retour de l'user</t>
        </r>
      </text>
    </comment>
    <comment ref="L85" authorId="0" shapeId="0">
      <text>
        <r>
          <rPr>
            <b/>
            <sz val="9"/>
            <color indexed="81"/>
            <rFont val="Tahoma"/>
            <family val="2"/>
          </rPr>
          <t>TB - Disjoncteur défaillant:</t>
        </r>
        <r>
          <rPr>
            <sz val="9"/>
            <color indexed="81"/>
            <rFont val="Tahoma"/>
            <family val="2"/>
          </rPr>
          <t xml:space="preserve">
3 coupures : 31mn, 20mn,45mn
</t>
        </r>
      </text>
    </comment>
    <comment ref="Q86" authorId="0" shapeId="0">
      <text>
        <r>
          <rPr>
            <b/>
            <sz val="9"/>
            <color indexed="81"/>
            <rFont val="Tahoma"/>
            <family val="2"/>
          </rPr>
          <t>Auteur:</t>
        </r>
        <r>
          <rPr>
            <sz val="9"/>
            <color indexed="81"/>
            <rFont val="Tahoma"/>
            <family val="2"/>
          </rPr>
          <t xml:space="preserve">
Coupure connexion due à une coupure du serveur DNS ==&gt; Impactée connexion CORP + barrière Parking
</t>
        </r>
      </text>
    </comment>
  </commentList>
</comments>
</file>

<file path=xl/comments6.xml><?xml version="1.0" encoding="utf-8"?>
<comments xmlns="http://schemas.openxmlformats.org/spreadsheetml/2006/main">
  <authors>
    <author>Auteur</author>
  </authors>
  <commentList>
    <comment ref="D7" authorId="0" shapeId="0">
      <text>
        <r>
          <rPr>
            <b/>
            <sz val="9"/>
            <color indexed="81"/>
            <rFont val="Tahoma"/>
            <family val="2"/>
          </rPr>
          <t>Auteur:</t>
        </r>
        <r>
          <rPr>
            <sz val="9"/>
            <color indexed="81"/>
            <rFont val="Tahoma"/>
            <family val="2"/>
          </rPr>
          <t xml:space="preserve">
A revoir à la hausse</t>
        </r>
      </text>
    </comment>
    <comment ref="A16"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A17"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O17" authorId="0" shapeId="0">
      <text>
        <r>
          <rPr>
            <b/>
            <sz val="9"/>
            <color indexed="81"/>
            <rFont val="Tahoma"/>
            <family val="2"/>
          </rPr>
          <t xml:space="preserve">La plupart des réclamations sont pour les entités : en attente des nouveaux points focaux </t>
        </r>
        <r>
          <rPr>
            <sz val="9"/>
            <color indexed="81"/>
            <rFont val="Tahoma"/>
            <family val="2"/>
          </rPr>
          <t xml:space="preserve">
</t>
        </r>
      </text>
    </comment>
    <comment ref="A18"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A19"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F23" authorId="0" shapeId="0">
      <text>
        <r>
          <rPr>
            <b/>
            <sz val="9"/>
            <color indexed="81"/>
            <rFont val="Tahoma"/>
            <family val="2"/>
          </rPr>
          <t>Donnée non encore disponible au niveau du processus</t>
        </r>
        <r>
          <rPr>
            <sz val="9"/>
            <color indexed="81"/>
            <rFont val="Tahoma"/>
            <family val="2"/>
          </rPr>
          <t xml:space="preserve">
</t>
        </r>
      </text>
    </comment>
    <comment ref="F33" authorId="0" shapeId="0">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Donnée de janv - nov </t>
        </r>
      </text>
    </comment>
    <comment ref="K35" authorId="0" shapeId="0">
      <text>
        <r>
          <rPr>
            <b/>
            <sz val="9"/>
            <color indexed="81"/>
            <rFont val="Tahoma"/>
            <family val="2"/>
          </rPr>
          <t>en attente de remontées d'information</t>
        </r>
        <r>
          <rPr>
            <sz val="9"/>
            <color indexed="81"/>
            <rFont val="Tahoma"/>
            <family val="2"/>
          </rPr>
          <t xml:space="preserve">
</t>
        </r>
      </text>
    </comment>
    <comment ref="F37"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Taux de change 1 EU = 4997 MGA</t>
        </r>
      </text>
    </comment>
    <comment ref="I38" authorId="0" shapeId="0">
      <text>
        <r>
          <rPr>
            <b/>
            <sz val="9"/>
            <color indexed="81"/>
            <rFont val="Tahoma"/>
            <family val="2"/>
          </rPr>
          <t>donées mensuels: 25 jours ouvrés après le mois concerné, Trimetriel: 45 jours</t>
        </r>
        <r>
          <rPr>
            <sz val="9"/>
            <color indexed="81"/>
            <rFont val="Tahoma"/>
            <family val="2"/>
          </rPr>
          <t xml:space="preserve">
</t>
        </r>
      </text>
    </comment>
    <comment ref="I39" authorId="0" shapeId="0">
      <text>
        <r>
          <rPr>
            <b/>
            <sz val="9"/>
            <color indexed="81"/>
            <rFont val="Tahoma"/>
            <family val="2"/>
          </rPr>
          <t>Prochaine revue le 25/07</t>
        </r>
        <r>
          <rPr>
            <sz val="9"/>
            <color indexed="81"/>
            <rFont val="Tahoma"/>
            <family val="2"/>
          </rPr>
          <t xml:space="preserve">
</t>
        </r>
      </text>
    </comment>
    <comment ref="D42" authorId="0" shapeId="0">
      <text>
        <r>
          <rPr>
            <b/>
            <sz val="9"/>
            <color indexed="81"/>
            <rFont val="Tahoma"/>
            <family val="2"/>
          </rPr>
          <t>Auteur:</t>
        </r>
        <r>
          <rPr>
            <sz val="9"/>
            <color indexed="81"/>
            <rFont val="Tahoma"/>
            <family val="2"/>
          </rPr>
          <t xml:space="preserve">
Modification indicateurs, garder le délai de 30j sans splitter RDIA &amp; Autres RED car les 2 sont mis sur une seule facture et donc même échéance</t>
        </r>
      </text>
    </comment>
    <comment ref="D43" authorId="0" shapeId="0">
      <text>
        <r>
          <rPr>
            <b/>
            <sz val="9"/>
            <color indexed="81"/>
            <rFont val="Tahoma"/>
            <family val="2"/>
          </rPr>
          <t>Auteur:</t>
        </r>
        <r>
          <rPr>
            <sz val="9"/>
            <color indexed="81"/>
            <rFont val="Tahoma"/>
            <family val="2"/>
          </rPr>
          <t xml:space="preserve">
Modification indicateurs, garder le délai de 30j sans splitter RDIA &amp; Autres RED car les 2 sont mis sur une seule facture et donc même échéance</t>
        </r>
      </text>
    </comment>
    <comment ref="K44" authorId="0" shapeId="0">
      <text>
        <r>
          <rPr>
            <b/>
            <sz val="9"/>
            <color indexed="81"/>
            <rFont val="Tahoma"/>
            <family val="2"/>
          </rPr>
          <t>Données juin 2024 en cours dde vérification avec la DAF</t>
        </r>
        <r>
          <rPr>
            <sz val="9"/>
            <color indexed="81"/>
            <rFont val="Tahoma"/>
            <family val="2"/>
          </rPr>
          <t xml:space="preserve">
</t>
        </r>
      </text>
    </comment>
    <comment ref="F46" authorId="0" shapeId="0">
      <text>
        <r>
          <rPr>
            <b/>
            <sz val="9"/>
            <color indexed="81"/>
            <rFont val="Tahoma"/>
            <family val="2"/>
          </rPr>
          <t>Auteur:</t>
        </r>
        <r>
          <rPr>
            <sz val="9"/>
            <color indexed="81"/>
            <rFont val="Tahoma"/>
            <family val="2"/>
          </rPr>
          <t xml:space="preserve">
Concentration des ressources sur les grands projets stratégiques (tarmacs et terminaux) en Q1</t>
        </r>
      </text>
    </comment>
    <comment ref="I46" authorId="0" shapeId="0">
      <text>
        <r>
          <rPr>
            <b/>
            <sz val="9"/>
            <color indexed="81"/>
            <rFont val="Tahoma"/>
            <family val="2"/>
          </rPr>
          <t>Concentration des ressources sur les grands projets stratégiques (tarmacs et terminaux) en Q2</t>
        </r>
        <r>
          <rPr>
            <sz val="9"/>
            <color indexed="81"/>
            <rFont val="Tahoma"/>
            <family val="2"/>
          </rPr>
          <t xml:space="preserve">
</t>
        </r>
      </text>
    </comment>
    <comment ref="B51" authorId="0" shapeId="0">
      <text>
        <r>
          <rPr>
            <b/>
            <sz val="9"/>
            <color indexed="81"/>
            <rFont val="Tahoma"/>
            <family val="2"/>
          </rPr>
          <t>Auteur:</t>
        </r>
        <r>
          <rPr>
            <sz val="9"/>
            <color indexed="81"/>
            <rFont val="Tahoma"/>
            <family val="2"/>
          </rPr>
          <t xml:space="preserve">
moyenne EC</t>
        </r>
      </text>
    </comment>
    <comment ref="D51" authorId="0" shapeId="0">
      <text>
        <r>
          <rPr>
            <b/>
            <sz val="9"/>
            <color indexed="81"/>
            <rFont val="Tahoma"/>
            <family val="2"/>
          </rPr>
          <t>Auteur:</t>
        </r>
        <r>
          <rPr>
            <sz val="9"/>
            <color indexed="81"/>
            <rFont val="Tahoma"/>
            <family val="2"/>
          </rPr>
          <t xml:space="preserve">
Objectif / seuil minimal</t>
        </r>
      </text>
    </comment>
    <comment ref="D57" authorId="0" shapeId="0">
      <text>
        <r>
          <rPr>
            <b/>
            <sz val="9"/>
            <color indexed="81"/>
            <rFont val="Tahoma"/>
            <family val="2"/>
          </rPr>
          <t>Auteur:</t>
        </r>
        <r>
          <rPr>
            <sz val="9"/>
            <color indexed="81"/>
            <rFont val="Tahoma"/>
            <family val="2"/>
          </rPr>
          <t xml:space="preserve">
Nombre de conformité par rapport aux 11 paramètres</t>
        </r>
      </text>
    </comment>
    <comment ref="D58" authorId="0" shapeId="0">
      <text>
        <r>
          <rPr>
            <b/>
            <sz val="9"/>
            <color indexed="81"/>
            <rFont val="Tahoma"/>
            <family val="2"/>
          </rPr>
          <t>Auteur:</t>
        </r>
        <r>
          <rPr>
            <sz val="9"/>
            <color indexed="81"/>
            <rFont val="Tahoma"/>
            <family val="2"/>
          </rPr>
          <t xml:space="preserve">
Par rapport aux 11 paramètres</t>
        </r>
      </text>
    </comment>
    <comment ref="L63" authorId="0" shapeId="0">
      <text>
        <r>
          <rPr>
            <b/>
            <sz val="9"/>
            <color indexed="81"/>
            <rFont val="Tahoma"/>
            <family val="2"/>
          </rPr>
          <t>Départ: 3,69
Arrivée: 3,78</t>
        </r>
        <r>
          <rPr>
            <sz val="9"/>
            <color indexed="81"/>
            <rFont val="Tahoma"/>
            <family val="2"/>
          </rPr>
          <t xml:space="preserve">
</t>
        </r>
      </text>
    </comment>
    <comment ref="O63" authorId="0" shapeId="0">
      <text>
        <r>
          <rPr>
            <b/>
            <sz val="9"/>
            <color indexed="81"/>
            <rFont val="Tahoma"/>
            <family val="2"/>
          </rPr>
          <t>Départ: 3,49
Arrivée: 3,65</t>
        </r>
        <r>
          <rPr>
            <sz val="9"/>
            <color indexed="81"/>
            <rFont val="Tahoma"/>
            <family val="2"/>
          </rPr>
          <t xml:space="preserve">
</t>
        </r>
      </text>
    </comment>
    <comment ref="B65" authorId="0" shapeId="0">
      <text>
        <r>
          <rPr>
            <b/>
            <sz val="9"/>
            <color indexed="81"/>
            <rFont val="Tahoma"/>
            <family val="2"/>
          </rPr>
          <t>Auteur:</t>
        </r>
        <r>
          <rPr>
            <sz val="9"/>
            <color indexed="81"/>
            <rFont val="Tahoma"/>
            <family val="2"/>
          </rPr>
          <t xml:space="preserve">
A enlever</t>
        </r>
      </text>
    </comment>
    <comment ref="C65" authorId="0" shapeId="0">
      <text>
        <r>
          <rPr>
            <b/>
            <sz val="9"/>
            <color indexed="81"/>
            <rFont val="Tahoma"/>
            <family val="2"/>
          </rPr>
          <t>Auteur:</t>
        </r>
        <r>
          <rPr>
            <sz val="9"/>
            <color indexed="81"/>
            <rFont val="Tahoma"/>
            <family val="2"/>
          </rPr>
          <t xml:space="preserve">
Taux de respect du temps d'attente moyen au départ national </t>
        </r>
      </text>
    </comment>
    <comment ref="D66" authorId="0" shapeId="0">
      <text>
        <r>
          <rPr>
            <b/>
            <sz val="9"/>
            <color indexed="81"/>
            <rFont val="Tahoma"/>
            <family val="2"/>
          </rPr>
          <t>Auteur:</t>
        </r>
        <r>
          <rPr>
            <sz val="9"/>
            <color indexed="81"/>
            <rFont val="Tahoma"/>
            <family val="2"/>
          </rPr>
          <t xml:space="preserve">
A voir par rapport à la convention de concession</t>
        </r>
      </text>
    </comment>
    <comment ref="F66" authorId="0" shapeId="0">
      <text>
        <r>
          <rPr>
            <b/>
            <sz val="9"/>
            <color indexed="81"/>
            <rFont val="Tahoma"/>
            <family val="2"/>
          </rPr>
          <t>Départ: 3,74
Arrivée: 3,95</t>
        </r>
        <r>
          <rPr>
            <sz val="9"/>
            <color indexed="81"/>
            <rFont val="Tahoma"/>
            <family val="2"/>
          </rPr>
          <t xml:space="preserve">
</t>
        </r>
      </text>
    </comment>
    <comment ref="I66" authorId="0" shapeId="0">
      <text>
        <r>
          <rPr>
            <b/>
            <sz val="9"/>
            <color indexed="81"/>
            <rFont val="Tahoma"/>
            <family val="2"/>
          </rPr>
          <t>Départ 3,94
Arrivée 3,97</t>
        </r>
        <r>
          <rPr>
            <sz val="9"/>
            <color indexed="81"/>
            <rFont val="Tahoma"/>
            <family val="2"/>
          </rPr>
          <t xml:space="preserve">
</t>
        </r>
      </text>
    </comment>
    <comment ref="L66" authorId="0" shapeId="0">
      <text>
        <r>
          <rPr>
            <b/>
            <sz val="9"/>
            <color indexed="81"/>
            <rFont val="Tahoma"/>
            <family val="2"/>
          </rPr>
          <t>départ: 3,93
Arrivée: 4,07</t>
        </r>
        <r>
          <rPr>
            <sz val="9"/>
            <color indexed="81"/>
            <rFont val="Tahoma"/>
            <family val="2"/>
          </rPr>
          <t xml:space="preserve">
</t>
        </r>
      </text>
    </comment>
    <comment ref="O66" authorId="0" shapeId="0">
      <text>
        <r>
          <rPr>
            <b/>
            <sz val="9"/>
            <color indexed="81"/>
            <rFont val="Tahoma"/>
            <family val="2"/>
          </rPr>
          <t>Départ: 3,82
Arrivée: 3,95</t>
        </r>
        <r>
          <rPr>
            <sz val="9"/>
            <color indexed="81"/>
            <rFont val="Tahoma"/>
            <family val="2"/>
          </rPr>
          <t xml:space="preserve">
</t>
        </r>
      </text>
    </comment>
    <comment ref="A69" authorId="0" shapeId="0">
      <text>
        <r>
          <rPr>
            <b/>
            <sz val="9"/>
            <color indexed="81"/>
            <rFont val="Tahoma"/>
            <family val="2"/>
          </rPr>
          <t>Auteur:</t>
        </r>
        <r>
          <rPr>
            <sz val="9"/>
            <color indexed="81"/>
            <rFont val="Tahoma"/>
            <family val="2"/>
          </rPr>
          <t xml:space="preserve">
Voir les contentieux liés aux employés</t>
        </r>
      </text>
    </comment>
    <comment ref="A70" authorId="0" shapeId="0">
      <text>
        <r>
          <rPr>
            <b/>
            <sz val="9"/>
            <color indexed="81"/>
            <rFont val="Tahoma"/>
            <family val="2"/>
          </rPr>
          <t>Auteur:</t>
        </r>
        <r>
          <rPr>
            <sz val="9"/>
            <color indexed="81"/>
            <rFont val="Tahoma"/>
            <family val="2"/>
          </rPr>
          <t xml:space="preserve">
Voir les contentieux liés aux employés</t>
        </r>
      </text>
    </comment>
    <comment ref="A71" authorId="0" shapeId="0">
      <text>
        <r>
          <rPr>
            <b/>
            <sz val="9"/>
            <color indexed="81"/>
            <rFont val="Tahoma"/>
            <family val="2"/>
          </rPr>
          <t>Auteur:</t>
        </r>
        <r>
          <rPr>
            <sz val="9"/>
            <color indexed="81"/>
            <rFont val="Tahoma"/>
            <family val="2"/>
          </rPr>
          <t xml:space="preserve">
Voir les contentieux liés aux employés</t>
        </r>
      </text>
    </comment>
    <comment ref="H76"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FMA</t>
        </r>
      </text>
    </comment>
    <comment ref="I76"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SESAME</t>
        </r>
      </text>
    </comment>
    <comment ref="K76"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Ecoles</t>
        </r>
      </text>
    </comment>
    <comment ref="N76"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APS</t>
        </r>
      </text>
    </comment>
    <comment ref="Q76"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AFHPMI+Andao</t>
        </r>
      </text>
    </comment>
    <comment ref="I77"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 services non retournés</t>
        </r>
      </text>
    </comment>
    <comment ref="F78"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livrable auditeur - mise en demeure déjà envoyée</t>
        </r>
      </text>
    </comment>
    <comment ref="F79"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livrable auditeur - mise en demeure déjà envoyée</t>
        </r>
      </text>
    </comment>
    <comment ref="M85" authorId="0" shapeId="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priorisation de tickets / alerte de monitoring des infrastructures / dépendance prestataires</t>
        </r>
      </text>
    </comment>
  </commentList>
</comments>
</file>

<file path=xl/comments7.xml><?xml version="1.0" encoding="utf-8"?>
<comments xmlns="http://schemas.openxmlformats.org/spreadsheetml/2006/main">
  <authors>
    <author>Auteur</author>
  </authors>
  <commentList>
    <comment ref="D7" authorId="0" shapeId="0">
      <text>
        <r>
          <rPr>
            <b/>
            <sz val="9"/>
            <color indexed="81"/>
            <rFont val="Tahoma"/>
            <family val="2"/>
          </rPr>
          <t>Auteur:</t>
        </r>
        <r>
          <rPr>
            <sz val="9"/>
            <color indexed="81"/>
            <rFont val="Tahoma"/>
            <family val="2"/>
          </rPr>
          <t xml:space="preserve">
A revoir à la hausse</t>
        </r>
      </text>
    </comment>
    <comment ref="A16" authorId="0" shapeId="0">
      <text>
        <r>
          <rPr>
            <b/>
            <sz val="9"/>
            <color indexed="81"/>
            <rFont val="Tahoma"/>
            <family val="2"/>
          </rPr>
          <t>Auteur:</t>
        </r>
        <r>
          <rPr>
            <sz val="9"/>
            <color indexed="81"/>
            <rFont val="Tahoma"/>
            <family val="2"/>
          </rPr>
          <t xml:space="preserve">
Indicateur nombre NC abandonné suite à la revue de Direction février 2021</t>
        </r>
      </text>
    </comment>
    <comment ref="D39" authorId="0" shapeId="0">
      <text>
        <r>
          <rPr>
            <b/>
            <sz val="9"/>
            <color indexed="81"/>
            <rFont val="Tahoma"/>
            <family val="2"/>
          </rPr>
          <t>Auteur:</t>
        </r>
        <r>
          <rPr>
            <sz val="9"/>
            <color indexed="81"/>
            <rFont val="Tahoma"/>
            <family val="2"/>
          </rPr>
          <t xml:space="preserve">
Modification indicateurs, garder le délai de 30j sans splitter RDIA &amp; Autres RED car les 2 sont mis sur une seule facture et donc même échéance</t>
        </r>
      </text>
    </comment>
    <comment ref="B47" authorId="0" shapeId="0">
      <text>
        <r>
          <rPr>
            <b/>
            <sz val="9"/>
            <color indexed="81"/>
            <rFont val="Tahoma"/>
            <family val="2"/>
          </rPr>
          <t>Auteur:</t>
        </r>
        <r>
          <rPr>
            <sz val="9"/>
            <color indexed="81"/>
            <rFont val="Tahoma"/>
            <family val="2"/>
          </rPr>
          <t xml:space="preserve">
moyenne EC</t>
        </r>
      </text>
    </comment>
    <comment ref="D47" authorId="0" shapeId="0">
      <text>
        <r>
          <rPr>
            <b/>
            <sz val="9"/>
            <color indexed="81"/>
            <rFont val="Tahoma"/>
            <family val="2"/>
          </rPr>
          <t>Auteur:</t>
        </r>
        <r>
          <rPr>
            <sz val="9"/>
            <color indexed="81"/>
            <rFont val="Tahoma"/>
            <family val="2"/>
          </rPr>
          <t xml:space="preserve">
Objectif / seuil minimal</t>
        </r>
      </text>
    </comment>
    <comment ref="D53" authorId="0" shapeId="0">
      <text>
        <r>
          <rPr>
            <b/>
            <sz val="9"/>
            <color indexed="81"/>
            <rFont val="Tahoma"/>
            <family val="2"/>
          </rPr>
          <t>Auteur:</t>
        </r>
        <r>
          <rPr>
            <sz val="9"/>
            <color indexed="81"/>
            <rFont val="Tahoma"/>
            <family val="2"/>
          </rPr>
          <t xml:space="preserve">
Nombre de conformité par rapport aux 11 paramètres</t>
        </r>
      </text>
    </comment>
    <comment ref="D54" authorId="0" shapeId="0">
      <text>
        <r>
          <rPr>
            <b/>
            <sz val="9"/>
            <color indexed="81"/>
            <rFont val="Tahoma"/>
            <family val="2"/>
          </rPr>
          <t>Auteur:</t>
        </r>
        <r>
          <rPr>
            <sz val="9"/>
            <color indexed="81"/>
            <rFont val="Tahoma"/>
            <family val="2"/>
          </rPr>
          <t xml:space="preserve">
Par rapport aux 11 paramètres</t>
        </r>
      </text>
    </comment>
    <comment ref="B61" authorId="0" shapeId="0">
      <text>
        <r>
          <rPr>
            <b/>
            <sz val="9"/>
            <color indexed="81"/>
            <rFont val="Tahoma"/>
            <family val="2"/>
          </rPr>
          <t>Auteur:</t>
        </r>
        <r>
          <rPr>
            <sz val="9"/>
            <color indexed="81"/>
            <rFont val="Tahoma"/>
            <family val="2"/>
          </rPr>
          <t xml:space="preserve">
A enlever</t>
        </r>
      </text>
    </comment>
    <comment ref="C61" authorId="0" shapeId="0">
      <text>
        <r>
          <rPr>
            <b/>
            <sz val="9"/>
            <color indexed="81"/>
            <rFont val="Tahoma"/>
            <family val="2"/>
          </rPr>
          <t>Auteur:</t>
        </r>
        <r>
          <rPr>
            <sz val="9"/>
            <color indexed="81"/>
            <rFont val="Tahoma"/>
            <family val="2"/>
          </rPr>
          <t xml:space="preserve">
Taux de respect du temps d'attente moyen au départ national </t>
        </r>
      </text>
    </comment>
    <comment ref="D62" authorId="0" shapeId="0">
      <text>
        <r>
          <rPr>
            <b/>
            <sz val="9"/>
            <color indexed="81"/>
            <rFont val="Tahoma"/>
            <family val="2"/>
          </rPr>
          <t>Auteur:</t>
        </r>
        <r>
          <rPr>
            <sz val="9"/>
            <color indexed="81"/>
            <rFont val="Tahoma"/>
            <family val="2"/>
          </rPr>
          <t xml:space="preserve">
A voir par rapport à la convention de concession</t>
        </r>
      </text>
    </comment>
    <comment ref="A66" authorId="0" shapeId="0">
      <text>
        <r>
          <rPr>
            <b/>
            <sz val="9"/>
            <color indexed="81"/>
            <rFont val="Tahoma"/>
            <family val="2"/>
          </rPr>
          <t>Auteur:</t>
        </r>
        <r>
          <rPr>
            <sz val="9"/>
            <color indexed="81"/>
            <rFont val="Tahoma"/>
            <family val="2"/>
          </rPr>
          <t xml:space="preserve">
Voir les contentieux liés aux employés</t>
        </r>
      </text>
    </comment>
  </commentList>
</comments>
</file>

<file path=xl/comments8.xml><?xml version="1.0" encoding="utf-8"?>
<comments xmlns="http://schemas.openxmlformats.org/spreadsheetml/2006/main">
  <authors>
    <author>Auteur</author>
  </authors>
  <commentList>
    <comment ref="A1" authorId="0" shapeId="0">
      <text>
        <r>
          <rPr>
            <b/>
            <sz val="9"/>
            <color indexed="81"/>
            <rFont val="Tahoma"/>
            <family val="2"/>
          </rPr>
          <t>Auteur:</t>
        </r>
        <r>
          <rPr>
            <sz val="9"/>
            <color indexed="81"/>
            <rFont val="Tahoma"/>
            <family val="2"/>
          </rPr>
          <t xml:space="preserve">
A formaliser ici validation de nouveaux indicateurs</t>
        </r>
      </text>
    </comment>
  </commentList>
</comments>
</file>

<file path=xl/sharedStrings.xml><?xml version="1.0" encoding="utf-8"?>
<sst xmlns="http://schemas.openxmlformats.org/spreadsheetml/2006/main" count="2303" uniqueCount="690">
  <si>
    <t>PROCESSUS</t>
  </si>
  <si>
    <t>SGS</t>
  </si>
  <si>
    <t>TABLEAU DE BORD 2019</t>
  </si>
  <si>
    <t>JANVIER</t>
  </si>
  <si>
    <t>FEVRIER</t>
  </si>
  <si>
    <t>MARS</t>
  </si>
  <si>
    <t>AVRIL</t>
  </si>
  <si>
    <t>MAI</t>
  </si>
  <si>
    <t>JUIN</t>
  </si>
  <si>
    <t>JUILLET</t>
  </si>
  <si>
    <t>AOÛT</t>
  </si>
  <si>
    <t>SEPTEMBRE</t>
  </si>
  <si>
    <t>OCTOBRE</t>
  </si>
  <si>
    <t>NOVEMBRE</t>
  </si>
  <si>
    <t>DÉCEMBRE</t>
  </si>
  <si>
    <t>INDICATEUR</t>
  </si>
  <si>
    <t>OBJECTIF</t>
  </si>
  <si>
    <t>SECURITE</t>
  </si>
  <si>
    <t>nombre de jours d'arrêt maladie</t>
  </si>
  <si>
    <t>FRET</t>
  </si>
  <si>
    <t>taux de réalisation de la maintenance préventive</t>
  </si>
  <si>
    <t>taux de rupture des PDR sensibles</t>
  </si>
  <si>
    <t>ACHATS</t>
  </si>
  <si>
    <t>nombre de NC fournisseurs</t>
  </si>
  <si>
    <t>TRIMESTRE 1</t>
  </si>
  <si>
    <t>TRIMESTRE 2</t>
  </si>
  <si>
    <t>TRIMESTRE 3</t>
  </si>
  <si>
    <t>TRIMESTRE 4</t>
  </si>
  <si>
    <t>taux d'avancement des actions correctives</t>
  </si>
  <si>
    <t>ENGAGEMENTS SOCIAUX</t>
  </si>
  <si>
    <t>nombre de constats d'audits négatifs</t>
  </si>
  <si>
    <t>RESSOURCES HUMAINES</t>
  </si>
  <si>
    <t>délai moyen de recrutement</t>
  </si>
  <si>
    <t>turn-over</t>
  </si>
  <si>
    <t>taux de doléances traitées</t>
  </si>
  <si>
    <t>taux de réclamations passagers vs nombre total de passagers</t>
  </si>
  <si>
    <t>MAINTENANCE</t>
  </si>
  <si>
    <t xml:space="preserve">évolution du trafic
</t>
  </si>
  <si>
    <t>respect du planning de contrôle sur terrain</t>
  </si>
  <si>
    <t>taux de recouvrement</t>
  </si>
  <si>
    <t>taux de clôture des actions planifiées sur la période</t>
  </si>
  <si>
    <t>nombre de réclamations reçues / incidents</t>
  </si>
  <si>
    <t>ENVIRONNEMENT</t>
  </si>
  <si>
    <t>FINANCE</t>
  </si>
  <si>
    <t>taux de respect des délais des reportings</t>
  </si>
  <si>
    <t>taux de réalisation des actions suite aux audits</t>
  </si>
  <si>
    <t>taux de respect des délais d'envoi des factures</t>
  </si>
  <si>
    <t>taux de factures refaites</t>
  </si>
  <si>
    <t>GRANDS PROJETS</t>
  </si>
  <si>
    <t>nombre de BHS KO vs nombre d'arrivées</t>
  </si>
  <si>
    <t>note moyenne de propreté</t>
  </si>
  <si>
    <t>NOSY BE</t>
  </si>
  <si>
    <t>cumul délai d'attente avant allocation parking (aéronefs)</t>
  </si>
  <si>
    <t>temps de 1ere réponse</t>
  </si>
  <si>
    <t>temps moyen de résolution (par niveau de priorité, cf doc SLA prestataire)</t>
  </si>
  <si>
    <t>taux de disponibilité du système</t>
  </si>
  <si>
    <t>SYSTÈME D'INFORMATION</t>
  </si>
  <si>
    <t>AERONEF</t>
  </si>
  <si>
    <t>taux de respect des plannings de vols</t>
  </si>
  <si>
    <t>nombre de réclamations des compagnies</t>
  </si>
  <si>
    <t>QUALITE</t>
  </si>
  <si>
    <t>note synthétique de satisfaction client</t>
  </si>
  <si>
    <t>taux de réalisation des actions correctives</t>
  </si>
  <si>
    <t>taux de réalisation du planning d'audit</t>
  </si>
  <si>
    <t>nombre de NC</t>
  </si>
  <si>
    <t xml:space="preserve">date de mise à jour : </t>
  </si>
  <si>
    <t>&gt; 80% trimestriel</t>
  </si>
  <si>
    <t>&gt;90% annuel</t>
  </si>
  <si>
    <t>&lt; 10 trimestriel</t>
  </si>
  <si>
    <t>taux de personnes évaluées</t>
  </si>
  <si>
    <t>nombre d'incidents personnel / usagers / passagers</t>
  </si>
  <si>
    <t>taux d'heures de maintenance préventive</t>
  </si>
  <si>
    <t>taux de disponibilité - BHS</t>
  </si>
  <si>
    <t>taux de disponibilité - Groupe électrogène</t>
  </si>
  <si>
    <t>taux de disponibilité - Eclairage tarmac</t>
  </si>
  <si>
    <t>COMMERCIAL</t>
  </si>
  <si>
    <t>nombre de réclamations utilisateurs</t>
  </si>
  <si>
    <t>délai moyen - achats locaux</t>
  </si>
  <si>
    <t>délai moyen - achats import</t>
  </si>
  <si>
    <t>taux de bouclage des activités du plan de travail</t>
  </si>
  <si>
    <t>100% fin décembre</t>
  </si>
  <si>
    <t>délai moyen d'ouverture des FNF</t>
  </si>
  <si>
    <t>80%</t>
  </si>
  <si>
    <t>montant factures payées avant échéance</t>
  </si>
  <si>
    <t>taux de retard de factures dues non payés</t>
  </si>
  <si>
    <t>nombre d'heures hommes de formation</t>
  </si>
  <si>
    <t>nombre de constats d'anomalies (inspection)</t>
  </si>
  <si>
    <t>11 000 000,00 Ar</t>
  </si>
  <si>
    <t>8 000 000,00 Ar</t>
  </si>
  <si>
    <t>50%</t>
  </si>
  <si>
    <t>90%</t>
  </si>
  <si>
    <t>taux de respect du planning des travaux</t>
  </si>
  <si>
    <t>supérieur à 95%</t>
  </si>
  <si>
    <t>taux de respect du budget de construction</t>
  </si>
  <si>
    <t>dépassement inférieur à 10%</t>
  </si>
  <si>
    <t>98%</t>
  </si>
  <si>
    <t>100%</t>
  </si>
  <si>
    <t>nombre de personnes sensibilisées</t>
  </si>
  <si>
    <t>nombre d'heures-hommes de formation SST</t>
  </si>
  <si>
    <t>tonnage Ivato</t>
  </si>
  <si>
    <t>CA Ivato</t>
  </si>
  <si>
    <t>nombre de non-conformités</t>
  </si>
  <si>
    <t>(Tonnes)</t>
  </si>
  <si>
    <t>323 272 934 Ar</t>
  </si>
  <si>
    <t>407 013 140 Ar</t>
  </si>
  <si>
    <t>1 621 T</t>
  </si>
  <si>
    <t>1 315 T</t>
  </si>
  <si>
    <t>(Ar)</t>
  </si>
  <si>
    <t>temps moyen au débarquement</t>
  </si>
  <si>
    <t>nombre de NC ACM - IVT</t>
  </si>
  <si>
    <t>nombre de NC ACM - NOS</t>
  </si>
  <si>
    <t>taux de disponibilité des pompes à eau (hors maintenance planifiée)</t>
  </si>
  <si>
    <t>7‰</t>
  </si>
  <si>
    <t>8‰</t>
  </si>
  <si>
    <t>0,2‰</t>
  </si>
  <si>
    <t>80‰</t>
  </si>
  <si>
    <t>2 mois 20 jours</t>
  </si>
  <si>
    <t>2818 heures homme</t>
  </si>
  <si>
    <t>20 heures homme</t>
  </si>
  <si>
    <t>0</t>
  </si>
  <si>
    <t>70</t>
  </si>
  <si>
    <t>100</t>
  </si>
  <si>
    <t>évolution du nombre de réclamations commerces et sous-concessionnaires</t>
  </si>
  <si>
    <t>Tolérance 5%</t>
  </si>
  <si>
    <t>15%</t>
  </si>
  <si>
    <t>25000000 Ar</t>
  </si>
  <si>
    <t>05 semaines</t>
  </si>
  <si>
    <t>4240 heures</t>
  </si>
  <si>
    <t>5%</t>
  </si>
  <si>
    <t>PASSAGERS</t>
  </si>
  <si>
    <t>3 jours</t>
  </si>
  <si>
    <t>75%</t>
  </si>
  <si>
    <t>3</t>
  </si>
  <si>
    <t>5</t>
  </si>
  <si>
    <t>MANAGEMENT</t>
  </si>
  <si>
    <t>respect des indicateurs de performance du contrat de concession</t>
  </si>
  <si>
    <t>90% des indicateurs respectés</t>
  </si>
  <si>
    <t>QUA-LST-003</t>
  </si>
  <si>
    <t>10</t>
  </si>
  <si>
    <t xml:space="preserve">nombre de constats avec niveau de risque 'medium' et 'high' par audit trimestriel </t>
  </si>
  <si>
    <t>978 634</t>
  </si>
  <si>
    <t>20 
(dont 1 reclamation par Client par Trim. pour 20 Clients)</t>
  </si>
  <si>
    <t>20
(dont 1 contrôle par Client par Trim. pour 20 Clients)</t>
  </si>
  <si>
    <t>-</t>
  </si>
  <si>
    <t>taux de disponibilité Convoyeur TA départ</t>
  </si>
  <si>
    <t>99</t>
  </si>
  <si>
    <t>89</t>
  </si>
  <si>
    <t>Taux de disponibilité Carrousel TA arrivé</t>
  </si>
  <si>
    <t>taux de disponibilité - Groupe électrogène 410 KVA</t>
  </si>
  <si>
    <t>taux de disponibilité - Groupe électrogène 350 KVA</t>
  </si>
  <si>
    <t>Taux de disponibilité piste d'envol 11-29</t>
  </si>
  <si>
    <t xml:space="preserve">Taux de disponibilté Toilettes Aérogares </t>
  </si>
  <si>
    <t>TABLEAU DE BORD 2020</t>
  </si>
  <si>
    <t>AMELIORATION</t>
  </si>
  <si>
    <t>JURIDIQUE</t>
  </si>
  <si>
    <t>nombre de contentieux non liés au recouvrement et non financiers</t>
  </si>
  <si>
    <t>nombre de notifications en cas de manquement (liées au contrat de concession)</t>
  </si>
  <si>
    <t>taux de satisfaction interne  (assistance juridique, production, vérification des actes juridiques)</t>
  </si>
  <si>
    <t>à définir</t>
  </si>
  <si>
    <t>P1 : 15 mn               
P2 : 30 mn
P3 : 4h                     
P4 : 24h</t>
  </si>
  <si>
    <t>PMR : 8h36 mn PBR : 11h57 mn</t>
  </si>
  <si>
    <t>PMR : 40h38 mn PBR : 7h59  mn</t>
  </si>
  <si>
    <t xml:space="preserve">PHR : 10 mn        PMR : 1h38 mn      PBR : 2h13 mn         </t>
  </si>
  <si>
    <t xml:space="preserve">PHR : 7 mn        PMR : 6h54 mn      PBR : 47 mn          </t>
  </si>
  <si>
    <t>P1 : 2h
P2 : 8h
P3 : 24h
P4 : 72h</t>
  </si>
  <si>
    <t xml:space="preserve">PTHR : 39h56 mn PHR : 1h10 mn        PMR : 3h10 mn      PBR : 1h31 mn           </t>
  </si>
  <si>
    <t xml:space="preserve">PTHR : 39h56 mn PHR : 1h10 mn        PMR : 3h10 mn      PBR : 1h31 mn          </t>
  </si>
  <si>
    <t xml:space="preserve">PTHR : 39h56 mn PHR : 1h10 mn        PMR : 3h10 mn      PBR : 1h31 mn         </t>
  </si>
  <si>
    <t xml:space="preserve">PHR : 1h54 mn        PMR : 1h10 mn      PBR : 54 mn          </t>
  </si>
  <si>
    <t>PMR : 2h53 mn PBR : 1h56 mn</t>
  </si>
  <si>
    <t xml:space="preserve">PTHR : 39h56 mn PHR : 1h10 mn        PMR : 3h10 mn      PBR : 1h31 mn            </t>
  </si>
  <si>
    <t xml:space="preserve">PTHR : 3 mn  
PHR : 3 mn   
PMR : 49 mn      PBR : 1h11 mn      </t>
  </si>
  <si>
    <t xml:space="preserve">PrioritéTrèsHauteR                 (PTHR)             PrioritéHauteR                         (PHR)           PrioritéMoyenneR                   (PMR)       PrioritéBasseR                         (PBR)                            Priorité 1 : Catastrophique    (P1)       Priorité 2 : Urgent                    (P1)                 Priorité 3 : Important              (P1)             Priorité 4 : Non-critique         (P1)   </t>
  </si>
  <si>
    <t>ERP (SAGE)</t>
  </si>
  <si>
    <t>CORP (Partageur)</t>
  </si>
  <si>
    <t>nombre de plaintes avérées (après validation DQHSSSE-MR) reçues</t>
  </si>
  <si>
    <t>COMMUNICATION</t>
  </si>
  <si>
    <t>25 000 000 Ar</t>
  </si>
  <si>
    <t>taux de retard de factures fournisseurs dues non payés</t>
  </si>
  <si>
    <t>taux de respect des délais d'envoi des factures aéronautiques et fret en compte</t>
  </si>
  <si>
    <t>Taux de disponibilité TARMAC</t>
  </si>
  <si>
    <t>Carrousel arrivé</t>
  </si>
  <si>
    <t>Groupe électrogène 110KVA</t>
  </si>
  <si>
    <t>Eclairage TARMAC</t>
  </si>
  <si>
    <t>Piste d'envol</t>
  </si>
  <si>
    <t>MAINTENANCE NOS</t>
  </si>
  <si>
    <t>MAINTENANCE IVT</t>
  </si>
  <si>
    <t>taux d'avancement des actions SST</t>
  </si>
  <si>
    <t>nombre de plaintes non répondues dans les délais (R+30)</t>
  </si>
  <si>
    <t>taux de bouclage des activités du plan de travail - physique (titre remis)</t>
  </si>
  <si>
    <t>taux de bouclage des activités du plan de travail - économique (statut restauré)</t>
  </si>
  <si>
    <t>Demandes d'infos et questions : taux de 1ères réponses envoyées sous 48h (par rapport au total des demandes reçues)</t>
  </si>
  <si>
    <t>Réclamations et plaintes : taux de 1ère réponses envoyées sous 48h (par rapport au total des demandes reçues)</t>
  </si>
  <si>
    <t>taux d'avancement des actions correctives FNF</t>
  </si>
  <si>
    <t>délai moyen - achats locaux (jours)</t>
  </si>
  <si>
    <t>délai moyen - achats import (jours)</t>
  </si>
  <si>
    <t>10 jours</t>
  </si>
  <si>
    <t>100 jours</t>
  </si>
  <si>
    <t>nombre de réclamations passagers vs nombre total de passagers</t>
  </si>
  <si>
    <r>
      <t xml:space="preserve">temps moyen au débarquement </t>
    </r>
    <r>
      <rPr>
        <sz val="11"/>
        <color rgb="FFFF0000"/>
        <rFont val="Calibri"/>
        <family val="2"/>
        <scheme val="minor"/>
      </rPr>
      <t>(à produire à partir des SLA, à mettre en place avec MGH)</t>
    </r>
  </si>
  <si>
    <r>
      <t xml:space="preserve">nombre de constats d'anomalies (inspection)
</t>
    </r>
    <r>
      <rPr>
        <sz val="11"/>
        <color rgb="FFFF0000"/>
        <rFont val="Calibri"/>
        <family val="2"/>
        <scheme val="minor"/>
      </rPr>
      <t>source de données : extractions données à partir des rapports puis après mise en place effective GMAO</t>
    </r>
  </si>
  <si>
    <t>85%</t>
  </si>
  <si>
    <t xml:space="preserve"> taux de disponibilité du système RESA</t>
  </si>
  <si>
    <t xml:space="preserve"> taux de disponibilité du système CCTV</t>
  </si>
  <si>
    <t>taux de disponibilité du système GED</t>
  </si>
  <si>
    <t>évolution du trafic</t>
  </si>
  <si>
    <t xml:space="preserve">Objectifs non atteint // Cause : délai de traitement au niveau des Directions demanderesses trop longue // Actions : information préalable du planning de traitement du dossier dès le lancement de l'avis de recrutement - rappel du délai de traitement </t>
  </si>
  <si>
    <t>Objectif : en moyenne 16h de formation par an par employé soit (265*16)h // Action : modification du suivi des objectifs en annuel au lieu de semestriel mais mise à jour des données de réalisation à faire mensuellement</t>
  </si>
  <si>
    <t>Priorité_1_P : _x000D_
Priorité_2_P : 2mn_x000D_
Priorité_3_P : 1h38mn_x000D_
Priorité_4_P : 6h30mn</t>
  </si>
  <si>
    <t>Priorité_1_P : _x000D_
Priorité_2_P : 4h48mn_x000D_
Priorité_3_P : 3h14mn_x000D_
Priorité_4_P : 5h47mn</t>
  </si>
  <si>
    <t>Priorité_1_P : _x000D_
Priorité_2_P : 10h30mn_x000D_
Priorité_3_P : 7h47mn_x000D_
Priorité_4_P : 27h25mn</t>
  </si>
  <si>
    <t>Priorité_1_R : _x000D_
Priorité_2_R : 48h_x000D_
Priorité_3_R : 24h_x000D_
Priorité_4_R : 24h</t>
  </si>
  <si>
    <t>Priorité_1_R : _x000D_
Priorité_2_R : 18mn_x000D_
Priorité_3_R : 28h_x000D_
Priorité_4_R : 13h30mn</t>
  </si>
  <si>
    <t>Priorité_1_R : _x000D_
Priorité_2_R : 53h_x000D_
Priorité_3_R : 56h_x000D_
Priorité_4_R : 80h</t>
  </si>
  <si>
    <t>Priorité_1_R : _x000D_
Priorité_2_R : 96h_x000D_
Priorité_3_R : 35h_x000D_
Priorité_4_R : 24h6mn</t>
  </si>
  <si>
    <t>Priorité_1_R : _x000D_
Priorité_2_R : 52min
Priorité_3_R :9h
Priorité_4_R : 12h</t>
  </si>
  <si>
    <t>Priorité_1_R : _x000D_
Priorité_2_R : 9h
Priorité_3_R : 12h29min_x000D_
Priorité_4_R : 13h</t>
  </si>
  <si>
    <t>Priorité_1_R : _x000D_
Priorité_2_R : 1h
Priorité_3_R : 5h6min_x000D_
Priorité_4_R : 8h41min</t>
  </si>
  <si>
    <t>taux de disponibilité du système SONO (TC)</t>
  </si>
  <si>
    <t>taux de disponibilité du système ACS (TC)</t>
  </si>
  <si>
    <t>Priorité_1_P : 
Priorité_2_P : 30mn
Priorité_3_P : 9h
Priorité_4_P : 11h</t>
  </si>
  <si>
    <t>Priorité_1_P : 
Priorité_2_P : 19min
Priorité_3_P : 3h30
Priorité_4_P : 1h</t>
  </si>
  <si>
    <t>Priorité_1_P : 
Priorité_2_P : 2h
Priorité_3_P : 2h
Priorité_4_P : 2h</t>
  </si>
  <si>
    <t>Priorité_1_P : 
Priorité_2_P : 32min
Priorité_3_P : 1h
6min
Priorité_4_P : 58min</t>
  </si>
  <si>
    <t>taux de fournisseurs sensibles évalués</t>
  </si>
  <si>
    <t xml:space="preserve">nombre de constats avec niveau de risque 'medium' et 'high' par audit </t>
  </si>
  <si>
    <t>&lt; 5%</t>
  </si>
  <si>
    <t>&lt; 1%</t>
  </si>
  <si>
    <t>&lt; 10 jours</t>
  </si>
  <si>
    <t>&lt; 5</t>
  </si>
  <si>
    <t>taux de satisfaction clients</t>
  </si>
  <si>
    <t>&gt; 80%</t>
  </si>
  <si>
    <r>
      <t xml:space="preserve">16,55
</t>
    </r>
    <r>
      <rPr>
        <sz val="11"/>
        <color theme="1"/>
        <rFont val="Calibri"/>
        <family val="2"/>
        <scheme val="minor"/>
      </rPr>
      <t xml:space="preserve">Contexte COVID-19 oblige, le délai est rallongé. Certains fournisseurs ont été obligés de reduire leur effectif pendant cette période </t>
    </r>
  </si>
  <si>
    <r>
      <t xml:space="preserve">109,5
</t>
    </r>
    <r>
      <rPr>
        <sz val="11"/>
        <color theme="1"/>
        <rFont val="Calibri"/>
        <family val="2"/>
        <scheme val="minor"/>
      </rPr>
      <t xml:space="preserve"> les importations sont soumises à plusieurs contraintes : Disponibilité des Vols, Dédouannement dans le contexte COVID-19</t>
    </r>
  </si>
  <si>
    <t>nombre de constats avec niveau de risque 'medium' et 'high' par audit LTA</t>
  </si>
  <si>
    <t xml:space="preserve">- taux de respect du budget </t>
  </si>
  <si>
    <t>&gt; 90%</t>
  </si>
  <si>
    <t>- qualité des ouvrages : nombres de réserves</t>
  </si>
  <si>
    <t>CA&lt;50k€ = 10 
50&lt;CA&lt;100k€ = 20
100&lt;CA&lt;500k€ = 30</t>
  </si>
  <si>
    <t xml:space="preserve">- qualité du suivi de chantier </t>
  </si>
  <si>
    <t>02 mois 09 jours</t>
  </si>
  <si>
    <t>04 mois 16 jours</t>
  </si>
  <si>
    <t>2476,75 heures</t>
  </si>
  <si>
    <t>60%</t>
  </si>
  <si>
    <t>25 154 000</t>
  </si>
  <si>
    <t>301 000</t>
  </si>
  <si>
    <t>4</t>
  </si>
  <si>
    <t>99%</t>
  </si>
  <si>
    <t>95%</t>
  </si>
  <si>
    <t>nombre de réclamations commerces et sous-concessionnaires</t>
  </si>
  <si>
    <t>1</t>
  </si>
  <si>
    <t>RAS</t>
  </si>
  <si>
    <t>taux de requêtes traitées</t>
  </si>
  <si>
    <t>PASSAGERS TNR</t>
  </si>
  <si>
    <t>PASSAGERS NOS</t>
  </si>
  <si>
    <t>tonnage TNR (kg)</t>
  </si>
  <si>
    <t>tonnage NOS (kg)</t>
  </si>
  <si>
    <t xml:space="preserve">nombre de non-conformités fret TNR </t>
  </si>
  <si>
    <t>TABLEAU DE BORD 2021</t>
  </si>
  <si>
    <t xml:space="preserve">Taux d’atteinte des objectifs par processus </t>
  </si>
  <si>
    <t>temps moyen au débarquement pour les passagers des vols internationaux</t>
  </si>
  <si>
    <t>60 mn</t>
  </si>
  <si>
    <t>nombre de réclamation VS nombre de passagers</t>
  </si>
  <si>
    <t>0 réclamation</t>
  </si>
  <si>
    <t>Note de propreté de l'aérogare</t>
  </si>
  <si>
    <t>Disponibilité du parking côté ville</t>
  </si>
  <si>
    <t xml:space="preserve">temps d'attente moyen à l'arrivée </t>
  </si>
  <si>
    <t>temps d'attente moyen au départ</t>
  </si>
  <si>
    <t>nombre de constats d'anomalies (inspection fonctionnement des installations)</t>
  </si>
  <si>
    <t>nombre de constats d'anomalies (inspection nettoyage)</t>
  </si>
  <si>
    <t>Moins de 30 min</t>
  </si>
  <si>
    <t>Moins de 20  min</t>
  </si>
  <si>
    <t xml:space="preserve">nombre de reclamation TNR </t>
  </si>
  <si>
    <t>nombre de reclamation NOS</t>
  </si>
  <si>
    <t>Taux de respect des plannings de vols TNR</t>
  </si>
  <si>
    <t>N/A</t>
  </si>
  <si>
    <t>Disponibilité de la piste TNR</t>
  </si>
  <si>
    <t>Taux d'aeronefs en faux contact TNR</t>
  </si>
  <si>
    <t>Taux de respect des plannings de vols NOS</t>
  </si>
  <si>
    <t>Disponibilité de la piste NOS</t>
  </si>
  <si>
    <t>- qualité du dossier d'appel d'offres: modifications en cours des travaux liées à l'imprécision du DAO (1 modification par 250k€)</t>
  </si>
  <si>
    <t xml:space="preserve"> 1 modification par 250k€</t>
  </si>
  <si>
    <t xml:space="preserve">- qualité du suivi de chantier : 
           CR de réunions complets sur la durée du chantier
           Documents d'exécutions complets et classés (plans, NDC, PEX, avis BC) </t>
  </si>
  <si>
    <t>63%</t>
  </si>
  <si>
    <t>95% - 85%</t>
  </si>
  <si>
    <t>100% - 90%</t>
  </si>
  <si>
    <t>100% - 95%</t>
  </si>
  <si>
    <t>70% - 60%</t>
  </si>
  <si>
    <t>Délai RH  : 04 semaines</t>
  </si>
  <si>
    <t>Délai jusqu'à validation proposition d'embauche : 05 semaines</t>
  </si>
  <si>
    <t xml:space="preserve">Objectif traitement au niveau de la DRH à compter de la réception de l'autorisation de recrutement validé par le Directeur Général jusqu'à la communication du compte rendu des entretiens et CV des 05 meilleurs candidats à la Direction demanderesse : 04 semaines
Objectif 2020 : 05 semaines (dont 04 semaines de traitement au niveau de la DRH et 01 semaine pour le traitement par la Direction Demanderesse jusqu'à validation de la proposition d'embauche par le candidat retenu). 
Pour réduire le temps de traitement des dossiers de candidature au niveau des Directions demanderesses de main-d’œuvre, la Direction RH n’enverra désormais que 5 dossiers par poste à pourvoir, parmi lesquels la Direction concernée fera son choix. </t>
  </si>
  <si>
    <t>Objectif : en moyenne 16h de formation par an par employé soit (264*16) h 
(effectif au 31 janvier 2021 : 264)</t>
  </si>
  <si>
    <t>12,59 le délai de livraison est la principale cause : le délai de traitement de demandes jusqu'à l'émission du BC est de 2 voire 3 jours au maximum</t>
  </si>
  <si>
    <t>P1:99%</t>
  </si>
  <si>
    <t>P2: 99%</t>
  </si>
  <si>
    <t>P3:99%</t>
  </si>
  <si>
    <t>P4:99%</t>
  </si>
  <si>
    <t>R1:99%</t>
  </si>
  <si>
    <t>R2:99%</t>
  </si>
  <si>
    <t>R3:99%</t>
  </si>
  <si>
    <t>R4:99%</t>
  </si>
  <si>
    <t>Tickets par SLA - Temps de prise en charge</t>
  </si>
  <si>
    <t>Tickets par SLA - Temps de résolution</t>
  </si>
  <si>
    <t>Neant</t>
  </si>
  <si>
    <t>nombre d'incidents personnel / usagers / passagers / sous-traitants</t>
  </si>
  <si>
    <t>nombre de personnes sensibilisées SST</t>
  </si>
  <si>
    <t>50</t>
  </si>
  <si>
    <t>Nombre de jours d'arrêt maladie</t>
  </si>
  <si>
    <t>Nombre de situations à risques, incidents identifiés/remontés</t>
  </si>
  <si>
    <t>&gt; 5</t>
  </si>
  <si>
    <t>Nombre d'inspections SST</t>
  </si>
  <si>
    <t>Taux d'avancement des actions SST</t>
  </si>
  <si>
    <t>SECURITE TNR</t>
  </si>
  <si>
    <t>SECURITE NOS</t>
  </si>
  <si>
    <r>
      <t xml:space="preserve">Délai diffusion d’information des évènements aux collaborateurs précisé et respecté : </t>
    </r>
    <r>
      <rPr>
        <sz val="11"/>
        <color theme="1"/>
        <rFont val="Calibri"/>
        <family val="2"/>
        <scheme val="minor"/>
      </rPr>
      <t>1 fois par semaine information des évènements hebdomadaires par SMS Connect selon calendrier reçu des autres départements</t>
    </r>
  </si>
  <si>
    <r>
      <t xml:space="preserve">Délai diffusion d’information des évènements aux collaborateurs précisé et respecté :  </t>
    </r>
    <r>
      <rPr>
        <sz val="11"/>
        <color theme="1"/>
        <rFont val="Calibri"/>
        <family val="2"/>
        <scheme val="minor"/>
      </rPr>
      <t xml:space="preserve">1 fois tous les 4 mois journal interne </t>
    </r>
  </si>
  <si>
    <r>
      <t xml:space="preserve">Communication médiatique sur Ravinala Airports : </t>
    </r>
    <r>
      <rPr>
        <sz val="11"/>
        <color theme="1"/>
        <rFont val="Calibri"/>
        <family val="2"/>
        <scheme val="minor"/>
      </rPr>
      <t xml:space="preserve">communications positives au moins 1 fois par mois dans la presse et les médias sociaux </t>
    </r>
  </si>
  <si>
    <r>
      <rPr>
        <b/>
        <sz val="11"/>
        <color theme="1"/>
        <rFont val="Calibri"/>
        <family val="2"/>
        <scheme val="minor"/>
      </rPr>
      <t xml:space="preserve">Réclamations et plaintes : </t>
    </r>
    <r>
      <rPr>
        <sz val="11"/>
        <color theme="1"/>
        <rFont val="Calibri"/>
        <family val="2"/>
        <scheme val="minor"/>
      </rPr>
      <t>taux de 1ère réponses envoyées sous 48h (par rapport au total des demandes reçues)</t>
    </r>
  </si>
  <si>
    <t>549 209 Pax</t>
  </si>
  <si>
    <t>6</t>
  </si>
  <si>
    <t>180</t>
  </si>
  <si>
    <t>1 080 000 euro</t>
  </si>
  <si>
    <t>Revenu non Aero</t>
  </si>
  <si>
    <t>Demander l'attestation du consultant</t>
  </si>
  <si>
    <t>CIBLE</t>
  </si>
  <si>
    <t>Service : 22 /Biens : 14 / Traitement Achats : 0,5</t>
  </si>
  <si>
    <t>Service : 25 /Biens : 10 / Traitement Achats : 1,5</t>
  </si>
  <si>
    <t>Service : 3 /Biens : 9 / Traitement Achats : 1</t>
  </si>
  <si>
    <t>Aucune Importation pour ce 1T/Dossiers de Régularisation Bolloré : 7 jours</t>
  </si>
  <si>
    <t xml:space="preserve"> Régularisation docs importation : 6 jours</t>
  </si>
  <si>
    <t>Aucune Importation pour ce 3T</t>
  </si>
  <si>
    <t>Mesurer la performance des fournisseurs sensibles</t>
  </si>
  <si>
    <t>Evaluer la performance des fournisseurs en terme de livraison</t>
  </si>
  <si>
    <t>Mesurer la performance du Service Achat</t>
  </si>
  <si>
    <t>≥ 60% des fournisseurs sensibles</t>
  </si>
  <si>
    <t>Taux de délai de livraison respecté (05 jours pour les achats locaux - 90 jours pour les achats imports)</t>
  </si>
  <si>
    <t>≥ 60% des fournisseurs de biens</t>
  </si>
  <si>
    <t>Taux de traitement des achats locaux &amp; imports ayant respectés les délais prévus dans la procédure</t>
  </si>
  <si>
    <t xml:space="preserve">100% des achats sur la période </t>
  </si>
  <si>
    <t>Minimiser les retards pour une gestion optimale des SLOT</t>
  </si>
  <si>
    <t>Retard des vols</t>
  </si>
  <si>
    <t xml:space="preserve">≥ 80% des vols avec – de 15min de retard </t>
  </si>
  <si>
    <t>Réduire les impacts des travaux</t>
  </si>
  <si>
    <t xml:space="preserve">Disponibilité de la piste </t>
  </si>
  <si>
    <t>100% de disponibilité en trafic programmé</t>
  </si>
  <si>
    <t>Optimiser le traitement passager suivant la position de l’appareil</t>
  </si>
  <si>
    <t>Taux d’aéronef positionné en faux contact (tarmac proche du terminal de traitement)</t>
  </si>
  <si>
    <t>≥ 80% des appareils sont traités en contact ou faux contact</t>
  </si>
  <si>
    <t>Réduire les émissions des engins de piste</t>
  </si>
  <si>
    <t xml:space="preserve">Taux d'utilisation de l'alimentation 400 Hz sur les postes en disposant </t>
  </si>
  <si>
    <t>100% d'utilisation sur les postes disposant du 400 Hz</t>
  </si>
  <si>
    <t>Améliorer la satisfaction des sous-concessionnaires</t>
  </si>
  <si>
    <t>taux de satisfaction des sous-concessionnaires</t>
  </si>
  <si>
    <t xml:space="preserve">≥ 75% </t>
  </si>
  <si>
    <t>Nombre de passagers</t>
  </si>
  <si>
    <t>Augmenter les revenus aéronautiques</t>
  </si>
  <si>
    <t>Mouvement</t>
  </si>
  <si>
    <t>≥ 7806</t>
  </si>
  <si>
    <t>Taux de remplissage</t>
  </si>
  <si>
    <t>≥ 65%</t>
  </si>
  <si>
    <t>Développer le trafic passager</t>
  </si>
  <si>
    <t>Taux de transformation prospect en contrat</t>
  </si>
  <si>
    <t>≥ 20%</t>
  </si>
  <si>
    <t>Augmenter les revenus non-aéronautiques</t>
  </si>
  <si>
    <t>Chiffre d’affaires des clients</t>
  </si>
  <si>
    <t>≥ 1 028k € sur TNR et NOS, avec le trafic cas Ravinala</t>
  </si>
  <si>
    <t>Chiffre d’affaires par passager</t>
  </si>
  <si>
    <t>Différent d’un sous-concessionnaire à un autre : de 0,06€ à 8,98€</t>
  </si>
  <si>
    <t>TABLEAU DE BORD 2022</t>
  </si>
  <si>
    <t xml:space="preserve">Veiller à une communication de proximité avec le grand public </t>
  </si>
  <si>
    <t>Taux de 1ère réponse aux réclamations et plaintes envoyée sous 48h </t>
  </si>
  <si>
    <t xml:space="preserve">100%  </t>
  </si>
  <si>
    <t>Assurer des retombées positives suite à aux campagnes de communication</t>
  </si>
  <si>
    <t>Taux de retombées positives dans la veille médiatique suite aux campagnes de communication</t>
  </si>
  <si>
    <t>≥ 70%</t>
  </si>
  <si>
    <t xml:space="preserve">Renforcer l’image de Ravinala Airports à travers des actions de relations publiques internes et externes  </t>
  </si>
  <si>
    <t>Taux d’engagement des parties prenantes aux évènements et communications ciblées</t>
  </si>
  <si>
    <t xml:space="preserve">≥ 70% en moyenne </t>
  </si>
  <si>
    <t xml:space="preserve">Réduire le taux d’impression de supports de communication </t>
  </si>
  <si>
    <t>Réduction du taux d'impression de support papiers</t>
  </si>
  <si>
    <t>≤  5%</t>
  </si>
  <si>
    <t>Réaliser le programme de conservation de la biodiversité</t>
  </si>
  <si>
    <t>Taux de réalisation des actions du programme de conservation de la biodiversité selon les délais prévus</t>
  </si>
  <si>
    <t>Traiter les incidents environnementaux</t>
  </si>
  <si>
    <t xml:space="preserve">Taux de traitement des incidents environnementaux </t>
  </si>
  <si>
    <t>Quantité d'énergie renouvelable produite</t>
  </si>
  <si>
    <t>≥ 15 000 Kwh</t>
  </si>
  <si>
    <t>Faire la cartographie de l'émission de CO2</t>
  </si>
  <si>
    <t>Taux de réalisation de la cartographie de l'émission CO2</t>
  </si>
  <si>
    <t>Augmenter la quantité de déchets non dangereux valorisés</t>
  </si>
  <si>
    <t>Taux de valorisation matières des déchets non dangereux</t>
  </si>
  <si>
    <t>Traiter les déchets dangereux</t>
  </si>
  <si>
    <t>≥ 1%</t>
  </si>
  <si>
    <t>Respecter les délais d’envoi des reporting</t>
  </si>
  <si>
    <t>Taux de respect des délais d'envoi des reporting</t>
  </si>
  <si>
    <t>≥ 80% des reporting envoyé avec un retard maximum de 15 jours</t>
  </si>
  <si>
    <t>Suivre et appliquer les recommandations du CAC</t>
  </si>
  <si>
    <t>Amélioration du taux de réalisation des actions suite aux audits CAC</t>
  </si>
  <si>
    <t>≥ 5%</t>
  </si>
  <si>
    <t>Suivre pour optimiser le BFR et aide à la décision sur les conditions fournisseurs</t>
  </si>
  <si>
    <t xml:space="preserve">Délai moyen de paiement fournisseurs </t>
  </si>
  <si>
    <t>Suivre pour optimiser le BFR, indique également la période moyenne de recouvrement</t>
  </si>
  <si>
    <t xml:space="preserve">Délai moyen de paiement clients </t>
  </si>
  <si>
    <t>Réaliser la quantité de fret prévu au budget</t>
  </si>
  <si>
    <t>Respect des délais par projet</t>
  </si>
  <si>
    <t>taux de respect des plannings des opérations réalisées dans l'année</t>
  </si>
  <si>
    <t>≥ 75%</t>
  </si>
  <si>
    <t>Respect du plan d'investissement DGP (CAPEX)</t>
  </si>
  <si>
    <t>taux de respect du budget travaux de construction</t>
  </si>
  <si>
    <t>qualité de suivi des travaux</t>
  </si>
  <si>
    <t xml:space="preserve"> nombres de réserves à la livraison</t>
  </si>
  <si>
    <t>(CA&lt;50k€) ≤ 10 
(50&lt;CA&lt;100k€) ≤ 20
(100&lt;CA&lt;500k€) ≤ 30</t>
  </si>
  <si>
    <t>SOCIAL</t>
  </si>
  <si>
    <t>Satisfaire les parties intéressées en interne</t>
  </si>
  <si>
    <t>Sensibiliser toutes les nouvelles recrues au code de conduite et au guide de partenaire d’affaire</t>
  </si>
  <si>
    <t>Taux de nouvelles recrues sensibilisées (dans les 2 mois suivant l'intégration) sur le code de conduite et le guide de partenaire d’affaire</t>
  </si>
  <si>
    <t>Assurer la disponibilité des équipements critiques sur TNR</t>
  </si>
  <si>
    <t>Minimiser les pannes sur TNR</t>
  </si>
  <si>
    <t>Assurer la disponibilité des équipements critiques sur NOS</t>
  </si>
  <si>
    <t>Minimiser les pannes sur NOS</t>
  </si>
  <si>
    <t>Réduire la consommation d'énergie par passager</t>
  </si>
  <si>
    <t>Taux de réduction de consommation d'énergie par passager</t>
  </si>
  <si>
    <t>Taux de réduction de consommation d'eau par passager</t>
  </si>
  <si>
    <t>Assurer la disponibilité de la STEP</t>
  </si>
  <si>
    <t>Taux de disponibilité STEP</t>
  </si>
  <si>
    <t>Assurer la disponibilité de l'incinérateur</t>
  </si>
  <si>
    <t>Taux de disponibilité incinérateur</t>
  </si>
  <si>
    <t>Atteindre les cibles des KPI</t>
  </si>
  <si>
    <t xml:space="preserve">Taux d’atteinte des cibles KPI par processus </t>
  </si>
  <si>
    <t xml:space="preserve">Améliorer le temps de livraison des bagages </t>
  </si>
  <si>
    <t>Temps de livraison bagage – Vol domestique</t>
  </si>
  <si>
    <t xml:space="preserve">Livraison du 1er bagage en moins de 20 mn </t>
  </si>
  <si>
    <t>Temps livraison bagage – Vols régionaux et internationaux</t>
  </si>
  <si>
    <t xml:space="preserve">Livraison du 1er bagage en moins de 30 mn </t>
  </si>
  <si>
    <t>Améliorer la satisfaction clients</t>
  </si>
  <si>
    <t>Taux d'amélioration de la satisfaction passagers aux ASQ au départ et à l’arrivée  / correspondance</t>
  </si>
  <si>
    <t>≥ 2%</t>
  </si>
  <si>
    <t>Fluidifier le parcours passagers à l'arrivée national</t>
  </si>
  <si>
    <t>Taux de respect du temps de traitement moyen à l'arrivée national</t>
  </si>
  <si>
    <t>≥ 75% moins de 30 minutes</t>
  </si>
  <si>
    <t>Fluidifier le parcours passagers au départ national</t>
  </si>
  <si>
    <t>Taux de respect du temps de traitement moyen au départ national</t>
  </si>
  <si>
    <t>≥ 75% moins de 01 heure 45 minutes</t>
  </si>
  <si>
    <t>Fluidifier le parcours passagers à l'arrivée international</t>
  </si>
  <si>
    <t>Taux de respect du temps de traitement moyen à l'arrivée international</t>
  </si>
  <si>
    <t>Fluidifier le parcours passagers au départ international</t>
  </si>
  <si>
    <t>Taux de respect du temps de traitement moyen au départ international</t>
  </si>
  <si>
    <t>≥ 75% moins de 03 heures 30 minutes</t>
  </si>
  <si>
    <t>≥ 75% moins de 02 heures</t>
  </si>
  <si>
    <t xml:space="preserve">Respecter le taux maximum de 5% de turn-over pour prouver l’effort de fidélisation des collaborateurs </t>
  </si>
  <si>
    <t>turn-over annuel</t>
  </si>
  <si>
    <t>≤ 5% </t>
  </si>
  <si>
    <t>Pourcentage de processus ayant respecté le délai de 05 semaines</t>
  </si>
  <si>
    <t>Faire honneur à l’engagement de la société en formant tous les collaborateurs</t>
  </si>
  <si>
    <t>Pourcentage de salariés n’ayant bénéficié d’aucune formation pendant deux ans</t>
  </si>
  <si>
    <t xml:space="preserve">Réduction de la consommation et de l’utilisation de papier </t>
  </si>
  <si>
    <t>Nombre de candidatures physiques reçues</t>
  </si>
  <si>
    <t>0%</t>
  </si>
  <si>
    <t>Maitriser la fréquence des accidents au travail</t>
  </si>
  <si>
    <t>Taux de fréquence</t>
  </si>
  <si>
    <t>≤  8,5</t>
  </si>
  <si>
    <t>Mesurer les impacts des accidents au travail</t>
  </si>
  <si>
    <t>Taux de gravité</t>
  </si>
  <si>
    <t>≤  0,18</t>
  </si>
  <si>
    <t>Résoudre les non-conformités majeures audit ACM six (6) mois après la notification</t>
  </si>
  <si>
    <t>Nombre de non-conformités majeures clôturées</t>
  </si>
  <si>
    <t>≥  80% de non-conformités majeures clôturées</t>
  </si>
  <si>
    <t>Maintenir le certificat d’aérodrome durant sa période de validité</t>
  </si>
  <si>
    <t>Taux de clôture des non-conformités</t>
  </si>
  <si>
    <t>≥  80% de taux de clôture des non-conformités</t>
  </si>
  <si>
    <t>Allocation de ressources financières pour les actions RSE</t>
  </si>
  <si>
    <t>Investissement RSE / ressources allouées</t>
  </si>
  <si>
    <t xml:space="preserve">≥ 60 000 euros </t>
  </si>
  <si>
    <t>Réalisation effective des rencontres SEP planifiées</t>
  </si>
  <si>
    <t>Taux de réalisation des rencontres SEP planifiées</t>
  </si>
  <si>
    <t>Bouclage des activité du plan de travail – physique des 65 PAPs  dans 3 à 5 ans à partir de 2019</t>
  </si>
  <si>
    <t>Bouclage des activité du plan de travail – économique dans 3 à 5 ans à partir de 2019</t>
  </si>
  <si>
    <t>Disponibilité des serveurs/services d’hébergement répondant aux normes/standards en vigueur
Accessibilité permanente et sans interruption aux serveurs/services d’hébergement</t>
  </si>
  <si>
    <t>Nombre de cartouche vide égarée/perdue de vue</t>
  </si>
  <si>
    <t>Disponibilité du réseau d’entreprise dans tous les bureaux
Accessibilité au réseau d’entreprise de manière permanente, sans interruption et sécurisé</t>
  </si>
  <si>
    <t>Déploiement du SMI</t>
  </si>
  <si>
    <t>Taux de réalisation des actions correctives</t>
  </si>
  <si>
    <t>Traiter les réclamations clients / passagers</t>
  </si>
  <si>
    <t>Taux de réclamations traitées dans le temps imparti</t>
  </si>
  <si>
    <t>Traiter les non-conformités système suite aux audits internes et externes</t>
  </si>
  <si>
    <t>Taux de NC d'audit traités selon les délais décidés</t>
  </si>
  <si>
    <t xml:space="preserve">taux de disponibilité </t>
  </si>
  <si>
    <t xml:space="preserve">Taux de disponibilité </t>
  </si>
  <si>
    <t>taux d'heures de maintenance préventive </t>
  </si>
  <si>
    <t>≥ 70% - 60%</t>
  </si>
  <si>
    <t>temps moyen au débarquement pour les passagers des vols nationaux</t>
  </si>
  <si>
    <t xml:space="preserve">30 mn </t>
  </si>
  <si>
    <t xml:space="preserve">60 mn </t>
  </si>
  <si>
    <t>Faire des camemberts trimestriel pour l'atteinte des objectifs ( smiley°</t>
  </si>
  <si>
    <t>83%</t>
  </si>
  <si>
    <t>84%</t>
  </si>
  <si>
    <t>87%</t>
  </si>
  <si>
    <t>89%</t>
  </si>
  <si>
    <t>Service : 24  /Biens : 11 / Traitement Achats : 3</t>
  </si>
  <si>
    <t>37 jours</t>
  </si>
  <si>
    <t>105 jours</t>
  </si>
  <si>
    <t>51 jours</t>
  </si>
  <si>
    <t>5718 heures</t>
  </si>
  <si>
    <t>FREQUENCE</t>
  </si>
  <si>
    <r>
      <rPr>
        <b/>
        <sz val="10"/>
        <color theme="1"/>
        <rFont val="Calibri"/>
        <family val="2"/>
      </rPr>
      <t>≤</t>
    </r>
    <r>
      <rPr>
        <b/>
        <sz val="8"/>
        <color theme="1"/>
        <rFont val="Calibri"/>
        <family val="2"/>
      </rPr>
      <t xml:space="preserve"> 3</t>
    </r>
  </si>
  <si>
    <t xml:space="preserve">Traiter les non-conformités liées aux exigences environnementales </t>
  </si>
  <si>
    <t>Taux de clôture des NC liées aux exigences environnementales selon les délais exigés</t>
  </si>
  <si>
    <t>Taux de déchets dangereux traités suivant le plan de gestion</t>
  </si>
  <si>
    <t>Annuelle</t>
  </si>
  <si>
    <t>Allocation de ressources financières pour le suivi et/ou la réduction des pollutions (air/bruit/sol/eau)</t>
  </si>
  <si>
    <t>Montant engagé dans le suivi et/ou la réduction des pollutions (air/bruit/sol/eau)</t>
  </si>
  <si>
    <t>Sur 12 mois glissant</t>
  </si>
  <si>
    <t>Trimestrielle</t>
  </si>
  <si>
    <t>Semestrielle</t>
  </si>
  <si>
    <t>≥ 25 000 euros</t>
  </si>
  <si>
    <t>≥ 17 182</t>
  </si>
  <si>
    <t>≥ 118</t>
  </si>
  <si>
    <t>quantité fret TNR (en tonne)</t>
  </si>
  <si>
    <t>quantité fret NOS (en tonne)</t>
  </si>
  <si>
    <t>Mensuelle</t>
  </si>
  <si>
    <t>46j</t>
  </si>
  <si>
    <t>RDIA= 50j
Autres= 66j</t>
  </si>
  <si>
    <t>Délai &lt;= 30jours</t>
  </si>
  <si>
    <t>Délai 
 Autres redevances &lt;= 30jours
RDIA  &amp; pax&lt;= 45jours</t>
  </si>
  <si>
    <t>Néant</t>
  </si>
  <si>
    <t>Réduire la consommation d'eau par passager sur TNR</t>
  </si>
  <si>
    <t>Respect du temps de mise à disposition des équipements conformes à la demande validée au standard en vigueur auprès des utilisateurs</t>
  </si>
  <si>
    <t>Taux de respect de la mise à disposition des matériels à réaffecter aux utilisateurs : délai maximum 04 jours</t>
  </si>
  <si>
    <t>NEANT</t>
  </si>
  <si>
    <t>Taux de respect de la mise à disposition des matériels à acquérir : délai maximum 08 semaines</t>
  </si>
  <si>
    <t>Respecter le temps de prise en compte et traitement des réclamations/ demandes utilisateurs conformément aux normes/standards en vigueur.</t>
  </si>
  <si>
    <t>Taux de respect du temps de prise en compte des réclamations et demandes tous les mois</t>
  </si>
  <si>
    <t>Catastrophique</t>
  </si>
  <si>
    <t>Urgent</t>
  </si>
  <si>
    <t>Important</t>
  </si>
  <si>
    <t>Non Critique</t>
  </si>
  <si>
    <t>Durée moyenne de coupure acceptable par mois</t>
  </si>
  <si>
    <t>45 mn</t>
  </si>
  <si>
    <t xml:space="preserve">Dégagement permanent des cartouches d’encre vides (DIS) vers une zone tampon bien identifiée et sécurisée
Traitement des déchets DIS selon les normes/standards en vigueur
</t>
  </si>
  <si>
    <t>Dépassement du délai de traitement des cartouches vides de la zone tampon acceptable (par rapport au planning de dégagement établi à l'avance)</t>
  </si>
  <si>
    <t>14 jours (02 semaines) après identification prestataire</t>
  </si>
  <si>
    <t>Biens : 8                                                                                                 Aucune Importation pour ce 1T</t>
  </si>
  <si>
    <t>Service : 17 /Biens : 8 / Traitement Achats : 0,5      Aucune Importation pour ce 1T</t>
  </si>
  <si>
    <t>Suivre et contrôler les avoirs sur créances clients</t>
  </si>
  <si>
    <t>Réduire le délai de traitement à 08 semaines conformément à la procédure de recrutement</t>
  </si>
  <si>
    <t>20%</t>
  </si>
  <si>
    <t>Produire de l'énergie à partir de source renouvelable</t>
  </si>
  <si>
    <t>d'ici 2024</t>
  </si>
  <si>
    <t>≥ 95%</t>
  </si>
  <si>
    <t>≥ 90 %</t>
  </si>
  <si>
    <t>≥ 80%</t>
  </si>
  <si>
    <t xml:space="preserve">≥ 80% </t>
  </si>
  <si>
    <t xml:space="preserve"> &gt; 75%</t>
  </si>
  <si>
    <t>&lt; 75%</t>
  </si>
  <si>
    <r>
      <t xml:space="preserve">Analyse : Environnement Covid ne joue pas en faveur de la société (baisse d'activité - optimisation des coûts) - manque de transparence (incompréhension politique et situation de la société)
Compétences managériales (middle management)
Changement de dirigeants
</t>
    </r>
    <r>
      <rPr>
        <sz val="11"/>
        <color theme="9" tint="-0.249977111117893"/>
        <rFont val="Calibri"/>
        <family val="2"/>
        <scheme val="minor"/>
      </rPr>
      <t>Actions : 
Organisation Journées questions-réponses
Séances d'explication Politique RH
Formation middle management sur les softskills</t>
    </r>
    <r>
      <rPr>
        <sz val="11"/>
        <color theme="1"/>
        <rFont val="Calibri"/>
        <family val="2"/>
        <scheme val="minor"/>
      </rPr>
      <t xml:space="preserve">
 </t>
    </r>
  </si>
  <si>
    <t>NA</t>
  </si>
  <si>
    <t>27j</t>
  </si>
  <si>
    <t>57j</t>
  </si>
  <si>
    <t>RDIA= 56j
Autres = 45j</t>
  </si>
  <si>
    <t>RDIA= 66j
Autres = 63j</t>
  </si>
  <si>
    <t>00:13:32</t>
  </si>
  <si>
    <t>00:14:51</t>
  </si>
  <si>
    <t>00:15:15</t>
  </si>
  <si>
    <t>00:17:42</t>
  </si>
  <si>
    <t>00:16:12</t>
  </si>
  <si>
    <t>00:10:12</t>
  </si>
  <si>
    <t>00:11:24</t>
  </si>
  <si>
    <t>00:11:12</t>
  </si>
  <si>
    <t>0011:32</t>
  </si>
  <si>
    <t>00:12:43</t>
  </si>
  <si>
    <t>00:16:49</t>
  </si>
  <si>
    <t>≥85%</t>
  </si>
  <si>
    <t>≥ 85%</t>
  </si>
  <si>
    <t>≥  60%</t>
  </si>
  <si>
    <t>≤ 90%</t>
  </si>
  <si>
    <t>(CA&lt;50k€) = 4
(50&lt;CA&lt;100k€) = 7</t>
  </si>
  <si>
    <t>Taux de respect du temps de résolution des réclamations et demandes tous les mois</t>
  </si>
  <si>
    <t>0
nouveau cible à partir de T2: 95%</t>
  </si>
  <si>
    <t>0
nouveau cible à partir de T2: 90%</t>
  </si>
  <si>
    <t>0
nouveau cible à partir de T2: 80%</t>
  </si>
  <si>
    <t>0
nouveau cible à partir de T2: 75%</t>
  </si>
  <si>
    <t>Changement équipe DRH en T2  : phase intégration</t>
  </si>
  <si>
    <t>17j</t>
  </si>
  <si>
    <t>Autres = 20 j
RDIA= 56 j</t>
  </si>
  <si>
    <t>33j</t>
  </si>
  <si>
    <t>RDIA = 20j
Autres= 21j</t>
  </si>
  <si>
    <t>N/A*</t>
  </si>
  <si>
    <t>00:12:00</t>
  </si>
  <si>
    <t>00:17:00</t>
  </si>
  <si>
    <t>aeronef positionné à un poste de stationnement le reliant au terminal par une PBB ou, positionné sur un poste rapproché du terminal, mais non accosté à une PBB,  où les opérations d’embarquement/débarquement des pax se font à pieds au moyen d’un escabeau .</t>
  </si>
  <si>
    <t>Biens : 4                                                                                                 Aucune Importation pour ce 1T</t>
  </si>
  <si>
    <t>Biens : 7                                                                                                 Aucune Importation pour ce 1T</t>
  </si>
  <si>
    <t>Service : 14 /Biens : 8 / Traitement Achats : 0,5      Aucune Importation pour ce 1T</t>
  </si>
  <si>
    <t>Service : 12 /Biens : 4 / Traitement Achats : 0,5      Aucune Importation pour ce 1T</t>
  </si>
  <si>
    <t>Service : 13 /Biens : 7 / Traitement Achats : 0,5      Aucune Importation pour ce 1T</t>
  </si>
  <si>
    <t>≥ 538 907</t>
  </si>
  <si>
    <t>≥ 1050000</t>
  </si>
  <si>
    <t>≥ 18032</t>
  </si>
  <si>
    <t>00:21:16</t>
  </si>
  <si>
    <t>TABLEAU DE BORD 2023</t>
  </si>
  <si>
    <t>taux de respect des plannings des opérations planifiées dans l'année</t>
  </si>
  <si>
    <t>Trimestriel</t>
  </si>
  <si>
    <t>Respect du budget par projet</t>
  </si>
  <si>
    <t>taux de respect du budget (CAPEX) réalisé dans l’année</t>
  </si>
  <si>
    <t>≥ 90%</t>
  </si>
  <si>
    <t>Minimiser les travaux supplémentaires liés à des manquements/imprécisions dans l’expression des besoins</t>
  </si>
  <si>
    <t>taux des travaux supplémentaires en terme de valeurs</t>
  </si>
  <si>
    <t>≤ 5%</t>
  </si>
  <si>
    <t>32j</t>
  </si>
  <si>
    <t>RDIA= 48j
Autres= 39j</t>
  </si>
  <si>
    <t>00:14:08</t>
  </si>
  <si>
    <t>11j</t>
  </si>
  <si>
    <t>RDIA= 14j
Autres= 50j</t>
  </si>
  <si>
    <t>Améliorer la performance des processus</t>
  </si>
  <si>
    <t>Taux de conformité des processus clés suite au contrôle qualité</t>
  </si>
  <si>
    <t>≥ 50%</t>
  </si>
  <si>
    <t>Trafic pax TNR/NOS</t>
  </si>
  <si>
    <t>Revenue non aéro  TNR/NOS</t>
  </si>
  <si>
    <t>Taux d'énergie renouvelable produite</t>
  </si>
  <si>
    <t>Taux de déchets valorisés</t>
  </si>
  <si>
    <t>Assurer la conformité de la STEP</t>
  </si>
  <si>
    <t>≥ 4</t>
  </si>
  <si>
    <t>Taux de conformité aux standards de traitement unitaire IATA C (Temps d'attente)</t>
  </si>
  <si>
    <t>atteindre un taux de conformité d’au moins &gt; 80% en moyenne et &gt; 70% pour tous les indicateurs</t>
  </si>
  <si>
    <t>Taux de ponctualité (de-peaking et flexibilité des ressources)</t>
  </si>
  <si>
    <t>atteindre un taux de ponctualité départ (15’) de 85% sur les vols internationaux et domestiques en
moyenne</t>
  </si>
  <si>
    <t xml:space="preserve"> Mettre en place les actions d’amélioration d’exploitation airside et landside</t>
  </si>
  <si>
    <t>Optimisation des ressources primaires et secondaires</t>
  </si>
  <si>
    <t xml:space="preserve">Note de satisfaction passagers aux enquêtes de satisfaction passagers (incluant ASQ) au départ et à l’arrivée  </t>
  </si>
  <si>
    <t>Délai de recrutement ne dépassant pas  56 jours  (08 semaines)</t>
  </si>
  <si>
    <t>≤  4</t>
  </si>
  <si>
    <t>≤  0,11</t>
  </si>
  <si>
    <t>Taux d'utilisation du budget mécénat</t>
  </si>
  <si>
    <t>Taux de respect de la mise à disposition des matériels non disponible en stock : délai maximum 08 semaines</t>
  </si>
  <si>
    <t>Délai de traitement des cartouches vides (retrait de la zone tampon)</t>
  </si>
  <si>
    <t>Respect du temps de prise en compte et traitement des réclamations/ demandes utilisateurs conformément aux normes/standards en vigueur.</t>
  </si>
  <si>
    <r>
      <rPr>
        <sz val="10"/>
        <color theme="1"/>
        <rFont val="Calibri"/>
        <family val="2"/>
      </rPr>
      <t>≤</t>
    </r>
    <r>
      <rPr>
        <sz val="10"/>
        <color theme="1"/>
        <rFont val="Arial"/>
        <family val="2"/>
      </rPr>
      <t xml:space="preserve"> 45 mn</t>
    </r>
  </si>
  <si>
    <t>Note de satisfaction passagers aux enquêtes de satisfaction des passagers au départ et à l'arrivée</t>
  </si>
  <si>
    <t>Pourcentage de salariés n'ayant bénéficié d’aucune formation pendant deux ans</t>
  </si>
  <si>
    <t>Taux de respect des jours de mise à disposition des matériels dispoible en stock : délai 04 jours</t>
  </si>
  <si>
    <t>Taux de conformité des rejets STEP TNR</t>
  </si>
  <si>
    <t>Taux de conformité des rejets STEP NOS</t>
  </si>
  <si>
    <t>Taux de disponibilité des équpements critiques</t>
  </si>
  <si>
    <t>≤ 6,7% </t>
  </si>
  <si>
    <t>RDIA= 53j
Autres= 51j</t>
  </si>
  <si>
    <t>Note de satisfaction passagers aux enquêtes de satisfaction passagers ASQ (Propreté de l'aéroport)</t>
  </si>
  <si>
    <t>Assurer la propreté des infrastructures d'accueile des passagers</t>
  </si>
  <si>
    <t>≥ 4,1</t>
  </si>
  <si>
    <t>Note de satisfaction passagers aux enquêtes de satisfaction passagers ASQ (Propreté TC)</t>
  </si>
  <si>
    <t>≥ 4,5</t>
  </si>
  <si>
    <t>≥ 3,3</t>
  </si>
  <si>
    <t xml:space="preserve">Taux de délai de livraison respecté : 05 jours pour les achats locaux </t>
  </si>
  <si>
    <t>Taux de délai de livraison respecté : 90 jours pour les achats imports</t>
  </si>
  <si>
    <t>Taux de traitement des achats locaux ayant respectés les délais prévus dans la procédure</t>
  </si>
  <si>
    <t>Taux de traitement des achats imports ayant respectés les délais prévus dans la procédure</t>
  </si>
  <si>
    <t>YTD</t>
  </si>
  <si>
    <r>
      <t>≥</t>
    </r>
    <r>
      <rPr>
        <b/>
        <sz val="10"/>
        <color rgb="FFFF0000"/>
        <rFont val="Calibri"/>
        <family val="2"/>
        <scheme val="minor"/>
      </rPr>
      <t xml:space="preserve"> 957 k €</t>
    </r>
    <r>
      <rPr>
        <b/>
        <sz val="10"/>
        <rFont val="Calibri"/>
        <family val="2"/>
        <scheme val="minor"/>
      </rPr>
      <t xml:space="preserve"> sur TNR et NOS, avec le trafic cas Ravinala</t>
    </r>
  </si>
  <si>
    <t>≤ 10%</t>
  </si>
  <si>
    <t>≤ 20%</t>
  </si>
  <si>
    <t>≤ 6,7%</t>
  </si>
  <si>
    <t>≥ 10%</t>
  </si>
  <si>
    <t>Pourcentage de processus ayant respecté le délai de 08 semaines</t>
  </si>
  <si>
    <t>TABLEAU DE BORD 2024</t>
  </si>
  <si>
    <t xml:space="preserve">Taux de délai de livraison respecté : 10 à 15 jours pour les achats locaux </t>
  </si>
  <si>
    <t xml:space="preserve">Par: </t>
  </si>
  <si>
    <t>Fenitra ANDRIAMPARANY</t>
  </si>
  <si>
    <r>
      <t xml:space="preserve">≥ </t>
    </r>
    <r>
      <rPr>
        <b/>
        <sz val="10"/>
        <color rgb="FFFF0000"/>
        <rFont val="Calibri"/>
        <family val="2"/>
        <scheme val="minor"/>
      </rPr>
      <t xml:space="preserve">1 900k € </t>
    </r>
    <r>
      <rPr>
        <b/>
        <sz val="10"/>
        <rFont val="Calibri"/>
        <family val="2"/>
        <scheme val="minor"/>
      </rPr>
      <t>sur TNR et NOS, avec le trafic cas Ravinala</t>
    </r>
  </si>
  <si>
    <t>Assurer la fluidité de la circulation des véhicules à l’entrée des terminaux</t>
  </si>
  <si>
    <t>Note de satisfaction passagers aux enquêtes de satisfactions passagers ASQ (Accès) 
Rapport maintenance des bornes d’entrées parking</t>
  </si>
  <si>
    <t>≥ 4,15
≥94%</t>
  </si>
  <si>
    <t xml:space="preserve">3,89
</t>
  </si>
  <si>
    <t>TABLEAU DE BORD 2025</t>
  </si>
  <si>
    <t>d'ici 2025</t>
  </si>
  <si>
    <t>12,69j</t>
  </si>
  <si>
    <t>RDIA = 21j
Autres= 36j</t>
  </si>
  <si>
    <t>Semsetrielle</t>
  </si>
  <si>
    <t>null</t>
  </si>
  <si>
    <t>Délai 
 Autres redevances &lt;= 30jours</t>
  </si>
  <si>
    <t xml:space="preserve">
40</t>
  </si>
  <si>
    <t>Délai 
RDIA  &amp; pax&lt;= 45jours</t>
  </si>
  <si>
    <t xml:space="preserve"> 29
</t>
  </si>
  <si>
    <t>Délai moyen de paiement clients (autres)</t>
  </si>
  <si>
    <t>Délai moyen de paiement clients (RDIA)</t>
  </si>
  <si>
    <t xml:space="preserve">Taux de disponibilité des équpements critiques </t>
  </si>
  <si>
    <t>Taux de disponibilité des équpements critiques 1</t>
  </si>
  <si>
    <t>taux d'heures de maintenance préventive 1 </t>
  </si>
  <si>
    <t xml:space="preserve">Taux de réduction de consommation d'eau par passager </t>
  </si>
  <si>
    <t>Durée moyenne de coupure acceptable par mois 1</t>
  </si>
  <si>
    <t xml:space="preserve">20 Livraison du 1er bagage en moins de 20 mn </t>
  </si>
  <si>
    <t xml:space="preserve">30 Livraison du 1er bagage en moins de 30 mn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</si>
</sst>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 _€_-;\-* #,##0.00\ _€_-;_-* &quot;-&quot;??\ _€_-;_-@_-"/>
    <numFmt numFmtId="164" formatCode="_-* #,##0.00_-;\-* #,##0.00_-;_-* &quot;-&quot;??_-;_-@_-"/>
    <numFmt numFmtId="165" formatCode="_(* #,##0.00_);_(* \(#,##0.00\);_(* &quot;-&quot;??_);_(@_)"/>
    <numFmt numFmtId="166" formatCode="_-* #,##0\ _€_-;\-* #,##0\ _€_-;_-* &quot;-&quot;??\ _€_-;_-@_-"/>
    <numFmt numFmtId="167" formatCode="0.0%"/>
    <numFmt numFmtId="168" formatCode="_(* #,##0_);_(* \(#,##0\);_(* &quot;-&quot;??_);_(@_)"/>
    <numFmt numFmtId="169" formatCode="[$-F400]h:mm:ss\ AM/PM"/>
    <numFmt numFmtId="170" formatCode="_-* #,##0.0\ _€_-;\-* #,##0.0\ _€_-;_-* &quot;-&quot;??\ _€_-;_-@_-"/>
  </numFmts>
  <fonts count="43" x14ac:knownFonts="1">
    <font>
      <sz val="11"/>
      <color theme="1"/>
      <name val="Calibri"/>
      <family val="2"/>
      <scheme val="minor"/>
    </font>
    <font>
      <sz val="11"/>
      <color rgb="FFFF0000"/>
      <name val="Calibri"/>
      <family val="2"/>
      <scheme val="minor"/>
    </font>
    <font>
      <b/>
      <sz val="10"/>
      <color theme="1"/>
      <name val="Calibri"/>
      <family val="2"/>
      <scheme val="minor"/>
    </font>
    <font>
      <b/>
      <sz val="12"/>
      <color theme="1"/>
      <name val="Calibri"/>
      <family val="2"/>
      <scheme val="minor"/>
    </font>
    <font>
      <b/>
      <sz val="11"/>
      <color theme="0"/>
      <name val="Calibri"/>
      <family val="2"/>
      <scheme val="minor"/>
    </font>
    <font>
      <b/>
      <sz val="11"/>
      <color theme="1"/>
      <name val="Calibri"/>
      <family val="2"/>
      <scheme val="minor"/>
    </font>
    <font>
      <b/>
      <sz val="10"/>
      <color theme="1" tint="0.499984740745262"/>
      <name val="Calibri"/>
      <family val="2"/>
      <scheme val="minor"/>
    </font>
    <font>
      <sz val="11"/>
      <color theme="1"/>
      <name val="Calibri"/>
      <family val="2"/>
      <scheme val="minor"/>
    </font>
    <font>
      <b/>
      <sz val="10"/>
      <color rgb="FFFF0000"/>
      <name val="Calibri"/>
      <family val="2"/>
      <scheme val="minor"/>
    </font>
    <font>
      <b/>
      <sz val="10"/>
      <color theme="1"/>
      <name val="Arial Narrow"/>
      <family val="2"/>
    </font>
    <font>
      <sz val="10"/>
      <color theme="1"/>
      <name val="Arial Narrow"/>
      <family val="2"/>
    </font>
    <font>
      <sz val="9"/>
      <color indexed="81"/>
      <name val="Tahoma"/>
      <family val="2"/>
    </font>
    <font>
      <b/>
      <sz val="9"/>
      <color indexed="81"/>
      <name val="Tahoma"/>
      <family val="2"/>
    </font>
    <font>
      <sz val="8"/>
      <color theme="1"/>
      <name val="Calibri"/>
      <family val="2"/>
      <scheme val="minor"/>
    </font>
    <font>
      <b/>
      <sz val="10"/>
      <name val="Calibri"/>
      <family val="2"/>
      <scheme val="minor"/>
    </font>
    <font>
      <b/>
      <sz val="11"/>
      <name val="Calibri"/>
      <family val="2"/>
      <scheme val="minor"/>
    </font>
    <font>
      <sz val="11"/>
      <color theme="0" tint="-0.499984740745262"/>
      <name val="Arial"/>
      <family val="2"/>
    </font>
    <font>
      <sz val="11"/>
      <name val="Calibri"/>
      <family val="2"/>
      <scheme val="minor"/>
    </font>
    <font>
      <b/>
      <sz val="11"/>
      <color rgb="FF00B050"/>
      <name val="Calibri"/>
      <family val="2"/>
      <scheme val="minor"/>
    </font>
    <font>
      <b/>
      <sz val="11"/>
      <color rgb="FFFF0000"/>
      <name val="Calibri"/>
      <family val="2"/>
      <scheme val="minor"/>
    </font>
    <font>
      <b/>
      <sz val="10"/>
      <color theme="1" tint="4.9989318521683403E-2"/>
      <name val="Calibri"/>
      <family val="2"/>
      <scheme val="minor"/>
    </font>
    <font>
      <b/>
      <sz val="11"/>
      <color theme="1"/>
      <name val="Arial Narrow"/>
      <family val="2"/>
    </font>
    <font>
      <b/>
      <sz val="10"/>
      <color theme="1"/>
      <name val="Calibri"/>
      <family val="2"/>
    </font>
    <font>
      <b/>
      <sz val="8"/>
      <color theme="1"/>
      <name val="Calibri"/>
      <family val="2"/>
    </font>
    <font>
      <b/>
      <sz val="11"/>
      <color theme="9" tint="-0.249977111117893"/>
      <name val="Calibri"/>
      <family val="2"/>
      <scheme val="minor"/>
    </font>
    <font>
      <sz val="10"/>
      <color rgb="FF000000"/>
      <name val="Calibri"/>
      <family val="2"/>
    </font>
    <font>
      <sz val="10"/>
      <color rgb="FFFF0000"/>
      <name val="Calibri"/>
      <family val="2"/>
    </font>
    <font>
      <sz val="10"/>
      <color rgb="FFF79646"/>
      <name val="Calibri"/>
      <family val="2"/>
    </font>
    <font>
      <sz val="11"/>
      <color theme="9" tint="-0.249977111117893"/>
      <name val="Calibri"/>
      <family val="2"/>
      <scheme val="minor"/>
    </font>
    <font>
      <sz val="11"/>
      <color theme="1"/>
      <name val="Arial Narrow"/>
      <family val="2"/>
    </font>
    <font>
      <sz val="11"/>
      <color rgb="FFFFFF00"/>
      <name val="Arial Narrow"/>
      <family val="2"/>
    </font>
    <font>
      <sz val="10"/>
      <color theme="1"/>
      <name val="Century Gothic"/>
      <family val="2"/>
    </font>
    <font>
      <b/>
      <sz val="10"/>
      <name val="Arial Narrow"/>
      <family val="2"/>
    </font>
    <font>
      <sz val="10"/>
      <color theme="1"/>
      <name val="Calibri"/>
      <family val="2"/>
      <scheme val="minor"/>
    </font>
    <font>
      <sz val="10"/>
      <color theme="1"/>
      <name val="Arial"/>
      <family val="2"/>
    </font>
    <font>
      <sz val="10"/>
      <color theme="1"/>
      <name val="Calibri"/>
      <family val="2"/>
    </font>
    <font>
      <sz val="10"/>
      <color rgb="FF000000"/>
      <name val="Arial Narrow"/>
      <family val="2"/>
    </font>
    <font>
      <sz val="10"/>
      <color rgb="FFFF0000"/>
      <name val="Arial Narrow"/>
      <family val="2"/>
    </font>
    <font>
      <sz val="11"/>
      <color rgb="FFFF0000"/>
      <name val="Arial Narrow"/>
      <family val="2"/>
    </font>
    <font>
      <b/>
      <sz val="18"/>
      <color theme="1"/>
      <name val="Calibri"/>
      <family val="2"/>
      <scheme val="minor"/>
    </font>
    <font>
      <sz val="11"/>
      <color rgb="FF000000"/>
      <name val="Calibri"/>
      <family val="2"/>
      <scheme val="minor"/>
    </font>
    <font>
      <sz val="11"/>
      <name val="Arial Narrow"/>
      <family val="2"/>
    </font>
    <font>
      <sz val="11"/>
      <color rgb="FF000000"/>
      <name val="Arial Narrow"/>
      <family val="2"/>
    </font>
  </fonts>
  <fills count="18">
    <fill>
      <patternFill patternType="none"/>
    </fill>
    <fill>
      <patternFill patternType="gray125"/>
    </fill>
    <fill>
      <patternFill patternType="solid">
        <fgColor theme="7" tint="0.59999389629810485"/>
        <bgColor indexed="64"/>
      </patternFill>
    </fill>
    <fill>
      <patternFill patternType="solid">
        <fgColor theme="1" tint="0.499984740745262"/>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0000"/>
        <bgColor indexed="64"/>
      </patternFill>
    </fill>
    <fill>
      <patternFill patternType="solid">
        <fgColor theme="6" tint="0.79998168889431442"/>
        <bgColor indexed="64"/>
      </patternFill>
    </fill>
    <fill>
      <patternFill patternType="solid">
        <fgColor rgb="FF00B05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bgColor rgb="FF000000"/>
      </patternFill>
    </fill>
    <fill>
      <patternFill patternType="solid">
        <fgColor rgb="FFFFFFFF"/>
        <bgColor rgb="FF000000"/>
      </patternFill>
    </fill>
  </fills>
  <borders count="126">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thin">
        <color indexed="64"/>
      </left>
      <right style="hair">
        <color auto="1"/>
      </right>
      <top style="thin">
        <color indexed="64"/>
      </top>
      <bottom style="thin">
        <color indexed="64"/>
      </bottom>
      <diagonal/>
    </border>
    <border>
      <left style="hair">
        <color indexed="64"/>
      </left>
      <right style="hair">
        <color indexed="64"/>
      </right>
      <top style="hair">
        <color indexed="64"/>
      </top>
      <bottom/>
      <diagonal/>
    </border>
    <border>
      <left style="thin">
        <color indexed="64"/>
      </left>
      <right style="hair">
        <color indexed="64"/>
      </right>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right style="hair">
        <color indexed="64"/>
      </right>
      <top style="thin">
        <color indexed="64"/>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hair">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hair">
        <color indexed="64"/>
      </left>
      <right style="hair">
        <color indexed="64"/>
      </right>
      <top/>
      <bottom/>
      <diagonal/>
    </border>
    <border>
      <left style="hair">
        <color indexed="64"/>
      </left>
      <right style="thin">
        <color indexed="64"/>
      </right>
      <top/>
      <bottom/>
      <diagonal/>
    </border>
    <border>
      <left/>
      <right style="hair">
        <color indexed="64"/>
      </right>
      <top/>
      <bottom/>
      <diagonal/>
    </border>
    <border>
      <left style="hair">
        <color indexed="64"/>
      </left>
      <right/>
      <top/>
      <bottom/>
      <diagonal/>
    </border>
    <border>
      <left/>
      <right style="thin">
        <color indexed="64"/>
      </right>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style="thin">
        <color indexed="64"/>
      </left>
      <right style="thin">
        <color indexed="64"/>
      </right>
      <top style="hair">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hair">
        <color indexed="64"/>
      </left>
      <right style="hair">
        <color indexed="64"/>
      </right>
      <top style="thin">
        <color indexed="64"/>
      </top>
      <bottom/>
      <diagonal/>
    </border>
    <border>
      <left style="thin">
        <color indexed="64"/>
      </left>
      <right/>
      <top/>
      <bottom style="hair">
        <color indexed="64"/>
      </bottom>
      <diagonal/>
    </border>
    <border>
      <left style="thin">
        <color indexed="64"/>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000000"/>
      </left>
      <right style="dotted">
        <color rgb="FF000000"/>
      </right>
      <top style="dotted">
        <color rgb="FF000000"/>
      </top>
      <bottom style="dotted">
        <color rgb="FF000000"/>
      </bottom>
      <diagonal/>
    </border>
    <border>
      <left style="thin">
        <color indexed="64"/>
      </left>
      <right/>
      <top/>
      <bottom/>
      <diagonal/>
    </border>
    <border>
      <left style="thin">
        <color indexed="64"/>
      </left>
      <right/>
      <top/>
      <bottom style="thin">
        <color indexed="64"/>
      </bottom>
      <diagonal/>
    </border>
    <border>
      <left style="hair">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thin">
        <color indexed="64"/>
      </bottom>
      <diagonal/>
    </border>
    <border>
      <left style="medium">
        <color indexed="64"/>
      </left>
      <right style="hair">
        <color auto="1"/>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style="thin">
        <color indexed="64"/>
      </top>
      <bottom/>
      <diagonal/>
    </border>
    <border>
      <left style="medium">
        <color indexed="64"/>
      </left>
      <right style="hair">
        <color indexed="64"/>
      </right>
      <top/>
      <bottom/>
      <diagonal/>
    </border>
    <border>
      <left style="hair">
        <color indexed="64"/>
      </left>
      <right style="medium">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style="hair">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style="medium">
        <color indexed="64"/>
      </top>
      <bottom/>
      <diagonal/>
    </border>
    <border>
      <left/>
      <right style="hair">
        <color indexed="64"/>
      </right>
      <top style="medium">
        <color indexed="64"/>
      </top>
      <bottom/>
      <diagonal/>
    </border>
    <border>
      <left style="hair">
        <color indexed="64"/>
      </left>
      <right/>
      <top style="medium">
        <color indexed="64"/>
      </top>
      <bottom/>
      <diagonal/>
    </border>
    <border>
      <left/>
      <right style="medium">
        <color indexed="64"/>
      </right>
      <top style="medium">
        <color indexed="64"/>
      </top>
      <bottom/>
      <diagonal/>
    </border>
    <border>
      <left style="medium">
        <color indexed="64"/>
      </left>
      <right style="hair">
        <color indexed="64"/>
      </right>
      <top style="hair">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diagonal/>
    </border>
    <border>
      <left/>
      <right style="medium">
        <color indexed="64"/>
      </right>
      <top style="hair">
        <color indexed="64"/>
      </top>
      <bottom style="medium">
        <color indexed="64"/>
      </bottom>
      <diagonal/>
    </border>
    <border>
      <left style="hair">
        <color indexed="64"/>
      </left>
      <right style="medium">
        <color indexed="64"/>
      </right>
      <top/>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top style="medium">
        <color indexed="64"/>
      </top>
      <bottom style="hair">
        <color indexed="64"/>
      </bottom>
      <diagonal/>
    </border>
    <border>
      <left/>
      <right style="medium">
        <color indexed="64"/>
      </right>
      <top style="hair">
        <color indexed="64"/>
      </top>
      <bottom/>
      <diagonal/>
    </border>
  </borders>
  <cellStyleXfs count="10">
    <xf numFmtId="0" fontId="0" fillId="0" borderId="0"/>
    <xf numFmtId="165" fontId="7" fillId="0" borderId="0" applyFont="0" applyFill="0" applyBorder="0" applyAlignment="0" applyProtection="0"/>
    <xf numFmtId="9"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cellStyleXfs>
  <cellXfs count="1447">
    <xf numFmtId="0" fontId="0" fillId="0" borderId="0" xfId="0"/>
    <xf numFmtId="0" fontId="0" fillId="0" borderId="0" xfId="0" applyAlignment="1">
      <alignment vertical="center"/>
    </xf>
    <xf numFmtId="0" fontId="1" fillId="0" borderId="0" xfId="0" applyFont="1" applyAlignment="1">
      <alignment horizontal="right" vertical="center"/>
    </xf>
    <xf numFmtId="0" fontId="3" fillId="0" borderId="0" xfId="0" applyFont="1" applyAlignment="1">
      <alignment vertical="center"/>
    </xf>
    <xf numFmtId="0" fontId="2" fillId="0" borderId="0" xfId="0" applyFont="1" applyAlignment="1">
      <alignment horizontal="right" vertical="center"/>
    </xf>
    <xf numFmtId="0" fontId="0" fillId="0" borderId="1" xfId="0" applyBorder="1" applyAlignment="1">
      <alignment horizontal="center" vertical="center" wrapText="1"/>
    </xf>
    <xf numFmtId="0" fontId="0" fillId="0" borderId="0" xfId="0" applyAlignment="1">
      <alignment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2" fillId="2" borderId="8"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0" fillId="0" borderId="27" xfId="0" applyBorder="1" applyAlignment="1">
      <alignment horizontal="center" vertical="center" wrapText="1"/>
    </xf>
    <xf numFmtId="0" fontId="5" fillId="0" borderId="24" xfId="0" applyFont="1" applyBorder="1" applyAlignment="1">
      <alignment horizontal="center" vertical="center" wrapText="1"/>
    </xf>
    <xf numFmtId="14" fontId="5" fillId="0" borderId="2" xfId="0" applyNumberFormat="1" applyFont="1" applyBorder="1" applyAlignment="1">
      <alignment horizontal="center"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7"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4" xfId="0" applyFont="1" applyBorder="1" applyAlignment="1">
      <alignment vertical="center" wrapText="1"/>
    </xf>
    <xf numFmtId="0" fontId="5" fillId="0" borderId="22" xfId="0" applyFont="1" applyBorder="1" applyAlignment="1">
      <alignment horizontal="center" vertical="center" wrapText="1"/>
    </xf>
    <xf numFmtId="14" fontId="5" fillId="0" borderId="11" xfId="0" applyNumberFormat="1" applyFont="1" applyBorder="1" applyAlignment="1">
      <alignment horizontal="center" vertical="center" wrapText="1"/>
    </xf>
    <xf numFmtId="0" fontId="5" fillId="0" borderId="11" xfId="0" applyFont="1" applyBorder="1" applyAlignment="1">
      <alignment vertical="center" wrapText="1"/>
    </xf>
    <xf numFmtId="0" fontId="5" fillId="0" borderId="12" xfId="0" applyFont="1" applyBorder="1" applyAlignment="1">
      <alignment vertical="center" wrapText="1"/>
    </xf>
    <xf numFmtId="0" fontId="5" fillId="0" borderId="1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vertical="center" wrapText="1"/>
    </xf>
    <xf numFmtId="0" fontId="2" fillId="4" borderId="17"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49" fontId="2" fillId="5" borderId="6" xfId="0" applyNumberFormat="1" applyFont="1" applyFill="1" applyBorder="1" applyAlignment="1">
      <alignment horizontal="center" vertical="center" wrapText="1"/>
    </xf>
    <xf numFmtId="49" fontId="2" fillId="5" borderId="4" xfId="0" applyNumberFormat="1" applyFont="1" applyFill="1" applyBorder="1" applyAlignment="1">
      <alignment horizontal="center" vertical="center" wrapText="1"/>
    </xf>
    <xf numFmtId="49" fontId="2" fillId="5" borderId="26" xfId="0" applyNumberFormat="1" applyFont="1" applyFill="1" applyBorder="1" applyAlignment="1">
      <alignment horizontal="center" vertical="center" wrapText="1"/>
    </xf>
    <xf numFmtId="49" fontId="2" fillId="5" borderId="3" xfId="0" applyNumberFormat="1" applyFont="1" applyFill="1" applyBorder="1" applyAlignment="1">
      <alignment horizontal="center" vertical="center" wrapText="1"/>
    </xf>
    <xf numFmtId="49" fontId="2" fillId="5" borderId="12" xfId="0" applyNumberFormat="1" applyFont="1" applyFill="1" applyBorder="1" applyAlignment="1">
      <alignment horizontal="center" vertical="center" wrapText="1"/>
    </xf>
    <xf numFmtId="49" fontId="2" fillId="5" borderId="28" xfId="0" applyNumberFormat="1" applyFont="1" applyFill="1" applyBorder="1" applyAlignment="1">
      <alignment horizontal="center" vertical="center" wrapText="1"/>
    </xf>
    <xf numFmtId="0" fontId="6" fillId="0" borderId="0" xfId="0" applyFont="1" applyAlignment="1">
      <alignment horizontal="right" vertical="center"/>
    </xf>
    <xf numFmtId="0" fontId="5" fillId="0" borderId="41"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3" xfId="0" applyFont="1" applyBorder="1" applyAlignment="1">
      <alignment horizontal="center" vertical="center" wrapText="1"/>
    </xf>
    <xf numFmtId="49" fontId="8" fillId="5" borderId="6" xfId="0" applyNumberFormat="1" applyFont="1" applyFill="1" applyBorder="1" applyAlignment="1">
      <alignment horizontal="center" vertical="center" wrapText="1"/>
    </xf>
    <xf numFmtId="49" fontId="8" fillId="5" borderId="12" xfId="0" applyNumberFormat="1" applyFont="1" applyFill="1" applyBorder="1" applyAlignment="1">
      <alignment horizontal="center" vertical="center" wrapText="1"/>
    </xf>
    <xf numFmtId="9" fontId="5" fillId="0" borderId="1" xfId="2" applyFont="1" applyBorder="1" applyAlignment="1">
      <alignment horizontal="center" vertical="center" wrapText="1"/>
    </xf>
    <xf numFmtId="0" fontId="5" fillId="0" borderId="29" xfId="0" applyFont="1" applyBorder="1" applyAlignment="1">
      <alignment vertical="center" wrapText="1"/>
    </xf>
    <xf numFmtId="0" fontId="5" fillId="0" borderId="24" xfId="0" applyFont="1" applyBorder="1" applyAlignment="1">
      <alignment vertical="center" wrapText="1"/>
    </xf>
    <xf numFmtId="0" fontId="5" fillId="0" borderId="30" xfId="0" applyFont="1" applyBorder="1" applyAlignment="1">
      <alignment vertical="center" wrapText="1"/>
    </xf>
    <xf numFmtId="0" fontId="5" fillId="0" borderId="31" xfId="0" applyFont="1" applyBorder="1" applyAlignment="1">
      <alignment vertical="center" wrapText="1"/>
    </xf>
    <xf numFmtId="0" fontId="5" fillId="0" borderId="35" xfId="0" applyFont="1" applyBorder="1" applyAlignment="1">
      <alignment vertical="center" wrapText="1"/>
    </xf>
    <xf numFmtId="0" fontId="5" fillId="0" borderId="22" xfId="0" applyFont="1" applyBorder="1" applyAlignment="1">
      <alignment vertical="center" wrapText="1"/>
    </xf>
    <xf numFmtId="0" fontId="5" fillId="0" borderId="36" xfId="0" applyFont="1" applyBorder="1" applyAlignment="1">
      <alignment vertical="center" wrapText="1"/>
    </xf>
    <xf numFmtId="0" fontId="5" fillId="0" borderId="37" xfId="0" applyFont="1" applyBorder="1" applyAlignment="1">
      <alignment vertical="center" wrapText="1"/>
    </xf>
    <xf numFmtId="0" fontId="0" fillId="0" borderId="47" xfId="0" applyBorder="1" applyAlignment="1">
      <alignment horizontal="center" vertical="center" wrapText="1"/>
    </xf>
    <xf numFmtId="49" fontId="2" fillId="5" borderId="48" xfId="0" applyNumberFormat="1" applyFont="1" applyFill="1" applyBorder="1" applyAlignment="1">
      <alignment horizontal="center" vertical="center" wrapText="1"/>
    </xf>
    <xf numFmtId="0" fontId="5" fillId="0" borderId="0" xfId="0" applyFont="1" applyAlignment="1">
      <alignment vertical="center" wrapText="1"/>
    </xf>
    <xf numFmtId="0" fontId="5" fillId="0" borderId="49" xfId="0" applyFont="1" applyBorder="1" applyAlignment="1">
      <alignment vertical="center" wrapText="1"/>
    </xf>
    <xf numFmtId="0" fontId="5" fillId="0" borderId="50" xfId="0" applyFont="1" applyBorder="1" applyAlignment="1">
      <alignment vertical="center" wrapText="1"/>
    </xf>
    <xf numFmtId="0" fontId="5" fillId="0" borderId="51" xfId="0" applyFont="1" applyBorder="1" applyAlignment="1">
      <alignment vertical="center" wrapText="1"/>
    </xf>
    <xf numFmtId="0" fontId="5" fillId="0" borderId="48" xfId="0" applyFont="1" applyBorder="1" applyAlignment="1">
      <alignment horizontal="center" vertical="center" wrapText="1"/>
    </xf>
    <xf numFmtId="0" fontId="5" fillId="0" borderId="2" xfId="0" applyFont="1" applyBorder="1" applyAlignment="1">
      <alignment horizontal="center" vertical="center" wrapText="1"/>
    </xf>
    <xf numFmtId="9" fontId="5" fillId="0" borderId="7" xfId="0" applyNumberFormat="1" applyFont="1" applyBorder="1" applyAlignment="1">
      <alignment horizontal="center" vertical="center" wrapText="1"/>
    </xf>
    <xf numFmtId="0" fontId="0" fillId="6" borderId="5" xfId="0" applyFill="1" applyBorder="1" applyAlignment="1">
      <alignment horizontal="center" vertical="center" wrapText="1"/>
    </xf>
    <xf numFmtId="0" fontId="0" fillId="7" borderId="1" xfId="0" applyFill="1" applyBorder="1" applyAlignment="1">
      <alignment horizontal="center" vertical="center" wrapText="1"/>
    </xf>
    <xf numFmtId="165" fontId="2" fillId="5" borderId="4" xfId="1" applyFont="1" applyFill="1" applyBorder="1" applyAlignment="1">
      <alignment horizontal="center" vertical="center" wrapText="1"/>
    </xf>
    <xf numFmtId="10" fontId="5" fillId="0" borderId="49" xfId="0" applyNumberFormat="1" applyFont="1" applyBorder="1" applyAlignment="1">
      <alignment horizontal="center" vertical="center" wrapText="1"/>
    </xf>
    <xf numFmtId="10" fontId="5" fillId="0" borderId="47" xfId="0" applyNumberFormat="1" applyFont="1" applyBorder="1" applyAlignment="1">
      <alignment horizontal="center" vertical="center" wrapText="1"/>
    </xf>
    <xf numFmtId="9" fontId="5" fillId="0" borderId="47" xfId="0" applyNumberFormat="1" applyFont="1" applyBorder="1" applyAlignment="1">
      <alignment horizontal="center" vertical="center" wrapText="1"/>
    </xf>
    <xf numFmtId="0" fontId="2" fillId="0" borderId="23" xfId="0" applyFont="1" applyBorder="1" applyAlignment="1">
      <alignment horizontal="center" vertical="center" wrapText="1"/>
    </xf>
    <xf numFmtId="49" fontId="9" fillId="5" borderId="3" xfId="0" applyNumberFormat="1" applyFont="1" applyFill="1" applyBorder="1" applyAlignment="1">
      <alignment horizontal="center" vertical="center" wrapText="1"/>
    </xf>
    <xf numFmtId="49" fontId="9" fillId="5" borderId="4" xfId="0" applyNumberFormat="1" applyFont="1" applyFill="1" applyBorder="1" applyAlignment="1">
      <alignment horizontal="center" vertical="center" wrapText="1"/>
    </xf>
    <xf numFmtId="49" fontId="9" fillId="5" borderId="12" xfId="0" applyNumberFormat="1" applyFont="1" applyFill="1" applyBorder="1" applyAlignment="1">
      <alignment horizontal="center" vertical="center" wrapText="1"/>
    </xf>
    <xf numFmtId="166" fontId="10" fillId="0" borderId="52" xfId="1" applyNumberFormat="1" applyFont="1" applyBorder="1" applyAlignment="1">
      <alignment horizontal="center" vertical="center"/>
    </xf>
    <xf numFmtId="166" fontId="10" fillId="0" borderId="2" xfId="1" applyNumberFormat="1" applyFont="1" applyBorder="1" applyAlignment="1">
      <alignment horizontal="center" vertical="center"/>
    </xf>
    <xf numFmtId="49" fontId="2" fillId="8" borderId="4" xfId="0" applyNumberFormat="1" applyFont="1" applyFill="1" applyBorder="1" applyAlignment="1">
      <alignment horizontal="center" vertical="center" wrapText="1"/>
    </xf>
    <xf numFmtId="49" fontId="2" fillId="5" borderId="2"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49" fontId="8" fillId="5" borderId="11" xfId="0" applyNumberFormat="1" applyFont="1" applyFill="1" applyBorder="1" applyAlignment="1">
      <alignment horizontal="center" vertical="center" wrapText="1"/>
    </xf>
    <xf numFmtId="0" fontId="5" fillId="0" borderId="11" xfId="0" applyFont="1" applyBorder="1" applyAlignment="1">
      <alignment horizontal="center" vertical="center" wrapText="1"/>
    </xf>
    <xf numFmtId="10" fontId="5" fillId="0" borderId="1" xfId="0" applyNumberFormat="1" applyFont="1" applyBorder="1" applyAlignment="1">
      <alignment horizontal="left" vertical="center" wrapText="1"/>
    </xf>
    <xf numFmtId="10" fontId="5" fillId="0" borderId="4" xfId="0" applyNumberFormat="1" applyFont="1" applyBorder="1" applyAlignment="1">
      <alignment horizontal="left" vertical="center" wrapText="1"/>
    </xf>
    <xf numFmtId="11" fontId="2" fillId="5" borderId="2" xfId="0" applyNumberFormat="1" applyFont="1" applyFill="1" applyBorder="1" applyAlignment="1">
      <alignment horizontal="left" vertical="center" wrapText="1"/>
    </xf>
    <xf numFmtId="0" fontId="0" fillId="0" borderId="2" xfId="0" applyBorder="1"/>
    <xf numFmtId="10" fontId="5" fillId="0" borderId="2" xfId="0" applyNumberFormat="1" applyFont="1" applyBorder="1" applyAlignment="1">
      <alignment horizontal="left" vertical="center" wrapText="1"/>
    </xf>
    <xf numFmtId="10" fontId="5" fillId="0" borderId="3" xfId="0" applyNumberFormat="1" applyFont="1" applyBorder="1" applyAlignment="1">
      <alignment horizontal="left" vertical="center" wrapText="1"/>
    </xf>
    <xf numFmtId="11" fontId="2" fillId="5" borderId="1" xfId="0" applyNumberFormat="1" applyFont="1" applyFill="1" applyBorder="1" applyAlignment="1">
      <alignment horizontal="left" vertical="center" wrapText="1"/>
    </xf>
    <xf numFmtId="49" fontId="2" fillId="5" borderId="11" xfId="0" applyNumberFormat="1" applyFont="1" applyFill="1" applyBorder="1" applyAlignment="1">
      <alignment horizontal="center" vertical="center" wrapText="1"/>
    </xf>
    <xf numFmtId="11" fontId="2" fillId="5" borderId="2" xfId="0" applyNumberFormat="1" applyFont="1" applyFill="1" applyBorder="1" applyAlignment="1">
      <alignment horizontal="center" vertical="center" wrapText="1"/>
    </xf>
    <xf numFmtId="11" fontId="2" fillId="5" borderId="9" xfId="0" applyNumberFormat="1" applyFont="1" applyFill="1" applyBorder="1" applyAlignment="1">
      <alignment horizontal="center" vertical="center" wrapText="1"/>
    </xf>
    <xf numFmtId="0" fontId="13" fillId="0" borderId="0" xfId="0" applyFont="1" applyAlignment="1">
      <alignment horizontal="left" vertical="top" wrapText="1"/>
    </xf>
    <xf numFmtId="10" fontId="5" fillId="0" borderId="1" xfId="2" applyNumberFormat="1" applyFont="1" applyBorder="1" applyAlignment="1">
      <alignment horizontal="center" vertical="center" wrapText="1"/>
    </xf>
    <xf numFmtId="10" fontId="5" fillId="0" borderId="11" xfId="2" applyNumberFormat="1" applyFont="1" applyBorder="1" applyAlignment="1">
      <alignment horizontal="center" vertical="center" wrapText="1"/>
    </xf>
    <xf numFmtId="49" fontId="2" fillId="5" borderId="33" xfId="0" applyNumberFormat="1" applyFont="1" applyFill="1" applyBorder="1" applyAlignment="1">
      <alignment horizontal="center" vertical="center" wrapText="1"/>
    </xf>
    <xf numFmtId="9" fontId="2" fillId="8" borderId="55" xfId="0" applyNumberFormat="1" applyFont="1" applyFill="1" applyBorder="1" applyAlignment="1">
      <alignment horizontal="center" vertical="center" wrapText="1"/>
    </xf>
    <xf numFmtId="49" fontId="14" fillId="5" borderId="1" xfId="0" applyNumberFormat="1" applyFont="1" applyFill="1" applyBorder="1" applyAlignment="1">
      <alignment horizontal="center" vertical="center" wrapText="1"/>
    </xf>
    <xf numFmtId="0" fontId="5" fillId="0" borderId="0" xfId="0" applyFont="1" applyAlignment="1">
      <alignment wrapText="1"/>
    </xf>
    <xf numFmtId="9" fontId="5" fillId="8" borderId="5" xfId="2" applyFont="1" applyFill="1" applyBorder="1" applyAlignment="1">
      <alignment horizontal="center" vertical="center" wrapText="1"/>
    </xf>
    <xf numFmtId="9" fontId="5" fillId="8" borderId="1" xfId="2" applyFont="1" applyFill="1" applyBorder="1" applyAlignment="1">
      <alignment horizontal="center" vertical="center" wrapText="1"/>
    </xf>
    <xf numFmtId="9" fontId="5" fillId="8" borderId="9" xfId="2" applyFont="1" applyFill="1" applyBorder="1" applyAlignment="1">
      <alignment horizontal="center" vertical="center" wrapText="1"/>
    </xf>
    <xf numFmtId="9" fontId="5" fillId="8" borderId="2" xfId="2" applyFont="1" applyFill="1" applyBorder="1" applyAlignment="1">
      <alignment horizontal="center" vertical="center" wrapText="1"/>
    </xf>
    <xf numFmtId="9" fontId="2" fillId="8" borderId="55" xfId="2" applyFont="1" applyFill="1" applyBorder="1" applyAlignment="1">
      <alignment horizontal="center" vertical="center" wrapText="1"/>
    </xf>
    <xf numFmtId="9" fontId="2" fillId="8" borderId="4" xfId="2" applyFont="1" applyFill="1" applyBorder="1" applyAlignment="1">
      <alignment horizontal="center" vertical="center" wrapText="1"/>
    </xf>
    <xf numFmtId="49" fontId="2" fillId="8" borderId="57" xfId="0" applyNumberFormat="1" applyFont="1" applyFill="1" applyBorder="1" applyAlignment="1">
      <alignment horizontal="center" vertical="center" wrapText="1"/>
    </xf>
    <xf numFmtId="9" fontId="2" fillId="8" borderId="26" xfId="2"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2" fillId="4" borderId="11" xfId="0" applyFont="1" applyFill="1" applyBorder="1" applyAlignment="1">
      <alignment horizontal="center" vertical="center" wrapText="1"/>
    </xf>
    <xf numFmtId="9" fontId="5" fillId="0" borderId="13" xfId="0" applyNumberFormat="1" applyFont="1" applyBorder="1" applyAlignment="1">
      <alignment vertical="center" wrapText="1"/>
    </xf>
    <xf numFmtId="9" fontId="15" fillId="8" borderId="9" xfId="2" applyFont="1" applyFill="1" applyBorder="1" applyAlignment="1">
      <alignment horizontal="center" vertical="center" wrapText="1"/>
    </xf>
    <xf numFmtId="10" fontId="5" fillId="0" borderId="1" xfId="0" applyNumberFormat="1" applyFont="1" applyBorder="1" applyAlignment="1">
      <alignment horizontal="center" vertical="center" wrapText="1"/>
    </xf>
    <xf numFmtId="49" fontId="2" fillId="5" borderId="61" xfId="0" applyNumberFormat="1" applyFont="1" applyFill="1" applyBorder="1" applyAlignment="1">
      <alignment horizontal="center" vertical="center" wrapText="1"/>
    </xf>
    <xf numFmtId="49" fontId="8" fillId="5" borderId="1" xfId="0" applyNumberFormat="1" applyFont="1" applyFill="1" applyBorder="1" applyAlignment="1">
      <alignment horizontal="center" vertical="center" wrapText="1"/>
    </xf>
    <xf numFmtId="49" fontId="14" fillId="5" borderId="6" xfId="0" applyNumberFormat="1"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8" borderId="0" xfId="0" applyFill="1" applyAlignment="1">
      <alignment wrapText="1"/>
    </xf>
    <xf numFmtId="9" fontId="5" fillId="0" borderId="1" xfId="0" applyNumberFormat="1" applyFont="1" applyBorder="1" applyAlignment="1">
      <alignment horizontal="center" vertical="center" wrapText="1"/>
    </xf>
    <xf numFmtId="9" fontId="5" fillId="0" borderId="2" xfId="0" applyNumberFormat="1" applyFont="1" applyBorder="1" applyAlignment="1">
      <alignment horizontal="center" vertical="center" wrapText="1"/>
    </xf>
    <xf numFmtId="9" fontId="5" fillId="0" borderId="9" xfId="0" applyNumberFormat="1" applyFont="1" applyBorder="1" applyAlignment="1">
      <alignment horizontal="center" vertical="center" wrapText="1"/>
    </xf>
    <xf numFmtId="9" fontId="5" fillId="0" borderId="5" xfId="0" applyNumberFormat="1" applyFont="1" applyBorder="1" applyAlignment="1">
      <alignment horizontal="center" vertical="center" wrapText="1"/>
    </xf>
    <xf numFmtId="9" fontId="2" fillId="5" borderId="1" xfId="2" applyFont="1" applyFill="1" applyBorder="1" applyAlignment="1">
      <alignment horizontal="center" vertical="center" wrapText="1"/>
    </xf>
    <xf numFmtId="9" fontId="5" fillId="5" borderId="1" xfId="2" applyFont="1" applyFill="1" applyBorder="1" applyAlignment="1">
      <alignment horizontal="center" vertical="center" wrapText="1"/>
    </xf>
    <xf numFmtId="0" fontId="0" fillId="8" borderId="1" xfId="0" applyFill="1" applyBorder="1" applyAlignment="1">
      <alignment horizontal="center" vertical="center" wrapText="1"/>
    </xf>
    <xf numFmtId="49" fontId="8" fillId="5" borderId="42" xfId="0" applyNumberFormat="1" applyFont="1" applyFill="1" applyBorder="1" applyAlignment="1">
      <alignment horizontal="center" vertical="center" wrapText="1"/>
    </xf>
    <xf numFmtId="0" fontId="16" fillId="0" borderId="65" xfId="0" applyFont="1" applyBorder="1" applyAlignment="1">
      <alignment vertical="center" wrapText="1"/>
    </xf>
    <xf numFmtId="0" fontId="16" fillId="0" borderId="65" xfId="0" applyFont="1" applyBorder="1" applyAlignment="1">
      <alignment wrapText="1"/>
    </xf>
    <xf numFmtId="10" fontId="15" fillId="0" borderId="1" xfId="0" applyNumberFormat="1" applyFont="1" applyBorder="1" applyAlignment="1">
      <alignment horizontal="center" vertical="center" wrapText="1"/>
    </xf>
    <xf numFmtId="10" fontId="15" fillId="0" borderId="11" xfId="0" applyNumberFormat="1" applyFont="1" applyBorder="1" applyAlignment="1">
      <alignment horizontal="center" vertical="center" wrapText="1"/>
    </xf>
    <xf numFmtId="0" fontId="2" fillId="0" borderId="47" xfId="0" applyFont="1" applyBorder="1" applyAlignment="1">
      <alignment horizontal="center" vertical="center" wrapText="1"/>
    </xf>
    <xf numFmtId="0" fontId="5" fillId="0" borderId="9" xfId="0" applyFont="1" applyBorder="1" applyAlignment="1">
      <alignment horizontal="center" vertical="center" wrapText="1"/>
    </xf>
    <xf numFmtId="10" fontId="15" fillId="7" borderId="1" xfId="0" applyNumberFormat="1" applyFont="1" applyFill="1" applyBorder="1" applyAlignment="1">
      <alignment horizontal="center" vertical="center" wrapText="1"/>
    </xf>
    <xf numFmtId="0" fontId="5" fillId="9" borderId="52" xfId="0" applyFont="1" applyFill="1" applyBorder="1" applyAlignment="1">
      <alignment horizontal="center" vertical="center" wrapText="1"/>
    </xf>
    <xf numFmtId="0" fontId="5" fillId="9" borderId="2" xfId="0" applyFont="1" applyFill="1" applyBorder="1"/>
    <xf numFmtId="0" fontId="5" fillId="9" borderId="2" xfId="0" applyFont="1" applyFill="1" applyBorder="1" applyAlignment="1">
      <alignment vertical="center" wrapText="1"/>
    </xf>
    <xf numFmtId="0" fontId="5" fillId="9" borderId="53" xfId="0" applyFont="1" applyFill="1" applyBorder="1" applyAlignment="1">
      <alignment vertical="center" wrapText="1"/>
    </xf>
    <xf numFmtId="0" fontId="5" fillId="9" borderId="1" xfId="0" applyFont="1" applyFill="1" applyBorder="1" applyAlignment="1">
      <alignment vertical="center" wrapText="1"/>
    </xf>
    <xf numFmtId="0" fontId="5" fillId="9" borderId="53" xfId="0" applyFont="1" applyFill="1" applyBorder="1"/>
    <xf numFmtId="0" fontId="5" fillId="9" borderId="54" xfId="0" applyFont="1" applyFill="1" applyBorder="1"/>
    <xf numFmtId="0" fontId="5" fillId="0" borderId="2" xfId="0" applyFont="1" applyBorder="1" applyAlignment="1">
      <alignment horizontal="left" vertical="center" wrapText="1"/>
    </xf>
    <xf numFmtId="0" fontId="5" fillId="0" borderId="1" xfId="0" applyFont="1" applyBorder="1" applyAlignment="1">
      <alignment horizontal="left" vertical="center" wrapText="1"/>
    </xf>
    <xf numFmtId="49" fontId="2" fillId="5" borderId="7" xfId="0" applyNumberFormat="1" applyFont="1" applyFill="1" applyBorder="1" applyAlignment="1">
      <alignment horizontal="center" vertical="center" wrapText="1"/>
    </xf>
    <xf numFmtId="49" fontId="0" fillId="0" borderId="0" xfId="0" applyNumberFormat="1"/>
    <xf numFmtId="0" fontId="5" fillId="7" borderId="9" xfId="0" applyFont="1" applyFill="1" applyBorder="1" applyAlignment="1">
      <alignment vertical="center" wrapText="1"/>
    </xf>
    <xf numFmtId="49" fontId="2" fillId="7" borderId="38" xfId="0" applyNumberFormat="1" applyFont="1" applyFill="1" applyBorder="1" applyAlignment="1">
      <alignment horizontal="center" vertical="center" wrapText="1"/>
    </xf>
    <xf numFmtId="9" fontId="2" fillId="7" borderId="39" xfId="2" applyFont="1" applyFill="1" applyBorder="1" applyAlignment="1">
      <alignment horizontal="center" vertical="center" wrapText="1"/>
    </xf>
    <xf numFmtId="9" fontId="5" fillId="7" borderId="9" xfId="2" applyFont="1" applyFill="1" applyBorder="1" applyAlignment="1">
      <alignment horizontal="center" vertical="center" wrapText="1"/>
    </xf>
    <xf numFmtId="9" fontId="5" fillId="7" borderId="9" xfId="0" applyNumberFormat="1" applyFont="1" applyFill="1" applyBorder="1" applyAlignment="1">
      <alignment horizontal="center" vertical="center" wrapText="1"/>
    </xf>
    <xf numFmtId="2" fontId="2" fillId="5" borderId="2" xfId="0" applyNumberFormat="1" applyFont="1" applyFill="1" applyBorder="1" applyAlignment="1">
      <alignment horizontal="center" vertical="center" wrapText="1"/>
    </xf>
    <xf numFmtId="9" fontId="2" fillId="5" borderId="2" xfId="2" applyFont="1" applyFill="1" applyBorder="1" applyAlignment="1">
      <alignment horizontal="center" vertical="center" wrapText="1"/>
    </xf>
    <xf numFmtId="9" fontId="5" fillId="5" borderId="2" xfId="2" applyFont="1" applyFill="1" applyBorder="1" applyAlignment="1">
      <alignment horizontal="center" vertical="center" wrapText="1"/>
    </xf>
    <xf numFmtId="49" fontId="2" fillId="5" borderId="22" xfId="0" applyNumberFormat="1" applyFont="1" applyFill="1" applyBorder="1" applyAlignment="1">
      <alignment horizontal="center" vertical="center" wrapText="1"/>
    </xf>
    <xf numFmtId="9" fontId="2" fillId="5" borderId="11" xfId="2" applyFont="1" applyFill="1" applyBorder="1" applyAlignment="1">
      <alignment horizontal="center" vertical="center" wrapText="1"/>
    </xf>
    <xf numFmtId="9" fontId="5" fillId="5" borderId="11" xfId="2" applyFont="1" applyFill="1" applyBorder="1" applyAlignment="1">
      <alignment horizontal="center" vertical="center" wrapText="1"/>
    </xf>
    <xf numFmtId="49" fontId="17" fillId="0" borderId="2" xfId="0" applyNumberFormat="1" applyFont="1" applyBorder="1" applyAlignment="1">
      <alignment horizontal="left" vertical="center" wrapText="1"/>
    </xf>
    <xf numFmtId="49" fontId="17" fillId="0" borderId="1" xfId="0" applyNumberFormat="1" applyFont="1" applyBorder="1" applyAlignment="1">
      <alignment horizontal="left" vertical="center" wrapText="1"/>
    </xf>
    <xf numFmtId="49" fontId="17" fillId="0" borderId="11" xfId="0" applyNumberFormat="1" applyFont="1" applyBorder="1" applyAlignment="1">
      <alignment horizontal="left" vertical="center" wrapText="1"/>
    </xf>
    <xf numFmtId="49" fontId="14" fillId="5" borderId="30" xfId="0" applyNumberFormat="1" applyFont="1" applyFill="1" applyBorder="1" applyAlignment="1">
      <alignment horizontal="center" vertical="center" wrapText="1"/>
    </xf>
    <xf numFmtId="49" fontId="14" fillId="5" borderId="33" xfId="0" applyNumberFormat="1" applyFont="1" applyFill="1" applyBorder="1" applyAlignment="1">
      <alignment horizontal="center" vertical="center" wrapText="1"/>
    </xf>
    <xf numFmtId="49" fontId="14" fillId="5" borderId="36" xfId="0" applyNumberFormat="1" applyFont="1" applyFill="1" applyBorder="1" applyAlignment="1">
      <alignment horizontal="center" vertical="center" wrapText="1"/>
    </xf>
    <xf numFmtId="49" fontId="2" fillId="8" borderId="12" xfId="0" applyNumberFormat="1" applyFont="1" applyFill="1" applyBorder="1" applyAlignment="1">
      <alignment horizontal="center" vertical="center" wrapText="1"/>
    </xf>
    <xf numFmtId="49" fontId="2" fillId="0" borderId="4" xfId="0" applyNumberFormat="1" applyFont="1" applyBorder="1" applyAlignment="1">
      <alignment horizontal="center" vertical="center" wrapText="1"/>
    </xf>
    <xf numFmtId="10" fontId="5" fillId="0" borderId="1" xfId="2" applyNumberFormat="1" applyFont="1" applyFill="1" applyBorder="1" applyAlignment="1">
      <alignment horizontal="center" vertical="center" wrapText="1"/>
    </xf>
    <xf numFmtId="9" fontId="0" fillId="0" borderId="0" xfId="0" applyNumberFormat="1" applyAlignment="1">
      <alignment wrapText="1"/>
    </xf>
    <xf numFmtId="10" fontId="0" fillId="0" borderId="0" xfId="0" applyNumberFormat="1" applyAlignment="1">
      <alignment wrapText="1"/>
    </xf>
    <xf numFmtId="166" fontId="0" fillId="0" borderId="0" xfId="0" applyNumberFormat="1" applyAlignment="1">
      <alignment wrapText="1"/>
    </xf>
    <xf numFmtId="166" fontId="9" fillId="0" borderId="65" xfId="1" applyNumberFormat="1" applyFont="1" applyFill="1" applyBorder="1" applyAlignment="1">
      <alignment horizontal="center" vertical="center"/>
    </xf>
    <xf numFmtId="9" fontId="5" fillId="0" borderId="9" xfId="0" applyNumberFormat="1" applyFont="1" applyBorder="1" applyAlignment="1">
      <alignment vertical="center" wrapText="1"/>
    </xf>
    <xf numFmtId="9" fontId="5" fillId="0" borderId="1" xfId="0" applyNumberFormat="1" applyFont="1" applyBorder="1" applyAlignment="1">
      <alignment vertical="center" wrapText="1"/>
    </xf>
    <xf numFmtId="49" fontId="2" fillId="5" borderId="30" xfId="0" applyNumberFormat="1" applyFont="1" applyFill="1" applyBorder="1" applyAlignment="1">
      <alignment horizontal="center" vertical="center" wrapText="1"/>
    </xf>
    <xf numFmtId="49" fontId="2" fillId="5" borderId="50" xfId="0" applyNumberFormat="1" applyFont="1" applyFill="1" applyBorder="1" applyAlignment="1">
      <alignment horizontal="center" vertical="center" wrapText="1"/>
    </xf>
    <xf numFmtId="49" fontId="2" fillId="5" borderId="36" xfId="0" applyNumberFormat="1" applyFont="1" applyFill="1" applyBorder="1" applyAlignment="1">
      <alignment horizontal="center" vertical="center" wrapText="1"/>
    </xf>
    <xf numFmtId="9" fontId="5" fillId="11" borderId="1" xfId="0" applyNumberFormat="1" applyFont="1" applyFill="1" applyBorder="1" applyAlignment="1">
      <alignment horizontal="center" vertical="center" wrapText="1"/>
    </xf>
    <xf numFmtId="9" fontId="5" fillId="8" borderId="1" xfId="0" applyNumberFormat="1" applyFont="1" applyFill="1" applyBorder="1" applyAlignment="1">
      <alignment horizontal="center" vertical="center" wrapText="1"/>
    </xf>
    <xf numFmtId="10" fontId="5" fillId="11" borderId="1" xfId="0" applyNumberFormat="1" applyFont="1" applyFill="1" applyBorder="1" applyAlignment="1">
      <alignment horizontal="center" vertical="center" wrapText="1"/>
    </xf>
    <xf numFmtId="9" fontId="5" fillId="8" borderId="4" xfId="0" applyNumberFormat="1" applyFont="1" applyFill="1" applyBorder="1" applyAlignment="1">
      <alignment horizontal="center" vertical="center" wrapText="1"/>
    </xf>
    <xf numFmtId="9" fontId="5" fillId="0" borderId="11" xfId="0" applyNumberFormat="1" applyFont="1" applyBorder="1" applyAlignment="1">
      <alignment vertical="center" wrapText="1"/>
    </xf>
    <xf numFmtId="9" fontId="5" fillId="0" borderId="2" xfId="2" applyFont="1" applyFill="1" applyBorder="1" applyAlignment="1">
      <alignment horizontal="center" vertical="center" wrapText="1"/>
    </xf>
    <xf numFmtId="9" fontId="5" fillId="0" borderId="1" xfId="2" applyFont="1" applyFill="1" applyBorder="1" applyAlignment="1">
      <alignment horizontal="center" vertical="center" wrapText="1"/>
    </xf>
    <xf numFmtId="9" fontId="5" fillId="0" borderId="9" xfId="2" applyFont="1" applyFill="1" applyBorder="1" applyAlignment="1">
      <alignment horizontal="center" vertical="center" wrapText="1"/>
    </xf>
    <xf numFmtId="9" fontId="2" fillId="0" borderId="2" xfId="2" applyFont="1" applyFill="1" applyBorder="1" applyAlignment="1">
      <alignment horizontal="center" vertical="center" wrapText="1"/>
    </xf>
    <xf numFmtId="49" fontId="2" fillId="0" borderId="1" xfId="0" applyNumberFormat="1" applyFont="1" applyBorder="1" applyAlignment="1">
      <alignment horizontal="center" vertical="center" wrapText="1"/>
    </xf>
    <xf numFmtId="9" fontId="2" fillId="0" borderId="1" xfId="2" applyFont="1" applyFill="1" applyBorder="1" applyAlignment="1">
      <alignment horizontal="center" vertical="center" wrapText="1"/>
    </xf>
    <xf numFmtId="49" fontId="2" fillId="0" borderId="7"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9" fontId="2" fillId="0" borderId="11" xfId="2" applyFont="1" applyFill="1" applyBorder="1" applyAlignment="1">
      <alignment horizontal="center" vertical="center" wrapText="1"/>
    </xf>
    <xf numFmtId="9" fontId="5" fillId="0" borderId="11" xfId="2" applyFont="1" applyFill="1" applyBorder="1" applyAlignment="1">
      <alignment horizontal="center" vertical="center" wrapText="1"/>
    </xf>
    <xf numFmtId="49" fontId="20" fillId="5" borderId="1" xfId="0" applyNumberFormat="1" applyFont="1" applyFill="1" applyBorder="1" applyAlignment="1">
      <alignment horizontal="center" vertical="center" wrapText="1"/>
    </xf>
    <xf numFmtId="9" fontId="15" fillId="0" borderId="1" xfId="2" applyFont="1" applyFill="1" applyBorder="1" applyAlignment="1">
      <alignment horizontal="center" vertical="center" wrapText="1"/>
    </xf>
    <xf numFmtId="165" fontId="5" fillId="0" borderId="50" xfId="1" applyFont="1" applyBorder="1" applyAlignment="1">
      <alignment horizontal="center" vertical="center" wrapText="1"/>
    </xf>
    <xf numFmtId="165" fontId="5" fillId="0" borderId="0" xfId="1" applyFont="1" applyBorder="1" applyAlignment="1">
      <alignment horizontal="center" vertical="center" wrapText="1"/>
    </xf>
    <xf numFmtId="165" fontId="5" fillId="0" borderId="49" xfId="1" applyFont="1" applyBorder="1" applyAlignment="1">
      <alignment horizontal="center" vertical="center" wrapText="1"/>
    </xf>
    <xf numFmtId="49" fontId="8" fillId="5" borderId="26" xfId="0" applyNumberFormat="1" applyFont="1" applyFill="1" applyBorder="1" applyAlignment="1">
      <alignment horizontal="center" vertical="center" wrapText="1"/>
    </xf>
    <xf numFmtId="49" fontId="8" fillId="5" borderId="3" xfId="0" applyNumberFormat="1" applyFont="1" applyFill="1" applyBorder="1" applyAlignment="1">
      <alignment horizontal="center" vertical="center" wrapText="1"/>
    </xf>
    <xf numFmtId="0" fontId="0" fillId="0" borderId="2" xfId="0" applyBorder="1" applyAlignment="1">
      <alignment horizontal="center" wrapText="1"/>
    </xf>
    <xf numFmtId="0" fontId="2" fillId="0" borderId="8" xfId="0" applyFont="1" applyBorder="1" applyAlignment="1">
      <alignment horizontal="center" vertical="center" wrapText="1"/>
    </xf>
    <xf numFmtId="0" fontId="0" fillId="0" borderId="15" xfId="0" applyBorder="1" applyAlignment="1">
      <alignment horizontal="center" wrapText="1"/>
    </xf>
    <xf numFmtId="49" fontId="2" fillId="5" borderId="15" xfId="0" applyNumberFormat="1" applyFont="1" applyFill="1" applyBorder="1" applyAlignment="1">
      <alignment horizontal="center" vertical="center" wrapText="1"/>
    </xf>
    <xf numFmtId="9" fontId="5" fillId="0" borderId="3" xfId="0" applyNumberFormat="1" applyFont="1" applyBorder="1" applyAlignment="1">
      <alignment horizontal="center" vertical="center" wrapText="1"/>
    </xf>
    <xf numFmtId="9" fontId="5" fillId="0" borderId="4" xfId="0" applyNumberFormat="1" applyFont="1" applyBorder="1" applyAlignment="1">
      <alignment horizontal="center" vertical="center" wrapText="1"/>
    </xf>
    <xf numFmtId="9" fontId="5" fillId="5" borderId="1" xfId="0" applyNumberFormat="1" applyFont="1" applyFill="1" applyBorder="1" applyAlignment="1">
      <alignment vertical="center" wrapText="1"/>
    </xf>
    <xf numFmtId="9" fontId="0" fillId="0" borderId="11" xfId="0" applyNumberFormat="1" applyBorder="1" applyAlignment="1">
      <alignment horizontal="center" vertical="center"/>
    </xf>
    <xf numFmtId="9" fontId="0" fillId="0" borderId="12" xfId="0" applyNumberFormat="1" applyBorder="1" applyAlignment="1">
      <alignment horizontal="center" vertical="center"/>
    </xf>
    <xf numFmtId="0" fontId="0" fillId="0" borderId="11" xfId="0" applyBorder="1" applyAlignment="1">
      <alignment vertical="center"/>
    </xf>
    <xf numFmtId="9" fontId="5" fillId="0" borderId="52" xfId="0" applyNumberFormat="1" applyFont="1" applyBorder="1" applyAlignment="1">
      <alignment horizontal="center" vertical="center" wrapText="1"/>
    </xf>
    <xf numFmtId="9" fontId="5" fillId="0" borderId="53" xfId="0"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 xfId="0" applyFill="1" applyBorder="1" applyAlignment="1">
      <alignment horizontal="center" vertical="center" wrapText="1"/>
    </xf>
    <xf numFmtId="20" fontId="5" fillId="0" borderId="2" xfId="0" applyNumberFormat="1" applyFont="1" applyBorder="1" applyAlignment="1">
      <alignment horizontal="center" vertical="center" wrapText="1"/>
    </xf>
    <xf numFmtId="20" fontId="5" fillId="0" borderId="1" xfId="0" applyNumberFormat="1" applyFont="1" applyBorder="1" applyAlignment="1">
      <alignment horizontal="center" vertical="center" wrapText="1"/>
    </xf>
    <xf numFmtId="49" fontId="8" fillId="5" borderId="9" xfId="0" applyNumberFormat="1" applyFont="1" applyFill="1" applyBorder="1" applyAlignment="1">
      <alignment horizontal="center" vertical="center" wrapText="1"/>
    </xf>
    <xf numFmtId="9" fontId="5" fillId="0" borderId="11" xfId="0" applyNumberFormat="1" applyFont="1" applyBorder="1" applyAlignment="1">
      <alignment horizontal="center" vertical="center" wrapText="1"/>
    </xf>
    <xf numFmtId="43" fontId="8" fillId="8" borderId="2" xfId="1" applyNumberFormat="1" applyFont="1" applyFill="1" applyBorder="1" applyAlignment="1">
      <alignment horizontal="right" vertical="center" wrapText="1"/>
    </xf>
    <xf numFmtId="165" fontId="8" fillId="8" borderId="1" xfId="1" applyFont="1" applyFill="1" applyBorder="1" applyAlignment="1">
      <alignment horizontal="right" vertical="center" wrapText="1"/>
    </xf>
    <xf numFmtId="49" fontId="8" fillId="8" borderId="1" xfId="0" applyNumberFormat="1" applyFont="1" applyFill="1" applyBorder="1" applyAlignment="1">
      <alignment horizontal="right" vertical="center" wrapText="1"/>
    </xf>
    <xf numFmtId="0" fontId="1" fillId="0" borderId="11" xfId="0" applyFont="1" applyBorder="1"/>
    <xf numFmtId="10" fontId="5" fillId="8" borderId="65" xfId="2" applyNumberFormat="1" applyFont="1" applyFill="1" applyBorder="1" applyAlignment="1">
      <alignment horizontal="center" vertical="center" wrapText="1"/>
    </xf>
    <xf numFmtId="10" fontId="5" fillId="8" borderId="65" xfId="0" applyNumberFormat="1" applyFont="1" applyFill="1" applyBorder="1" applyAlignment="1">
      <alignment horizontal="center"/>
    </xf>
    <xf numFmtId="9" fontId="5" fillId="8" borderId="65" xfId="2" applyFont="1" applyFill="1" applyBorder="1" applyAlignment="1">
      <alignment horizontal="center"/>
    </xf>
    <xf numFmtId="0" fontId="5" fillId="8" borderId="65" xfId="0" applyFont="1" applyFill="1" applyBorder="1" applyAlignment="1">
      <alignment horizontal="center"/>
    </xf>
    <xf numFmtId="49" fontId="17" fillId="0" borderId="52" xfId="0" applyNumberFormat="1" applyFont="1" applyBorder="1" applyAlignment="1">
      <alignment horizontal="left" vertical="center" wrapText="1"/>
    </xf>
    <xf numFmtId="49" fontId="14" fillId="5" borderId="2" xfId="0" applyNumberFormat="1" applyFont="1" applyFill="1" applyBorder="1" applyAlignment="1">
      <alignment horizontal="center" vertical="center" wrapText="1"/>
    </xf>
    <xf numFmtId="49" fontId="17" fillId="0" borderId="53" xfId="0" applyNumberFormat="1" applyFont="1" applyBorder="1" applyAlignment="1">
      <alignment horizontal="left" vertical="center" wrapText="1"/>
    </xf>
    <xf numFmtId="49" fontId="17" fillId="0" borderId="54" xfId="0" applyNumberFormat="1" applyFont="1" applyBorder="1" applyAlignment="1">
      <alignment horizontal="left" vertical="center" wrapText="1"/>
    </xf>
    <xf numFmtId="49" fontId="14" fillId="5" borderId="11" xfId="0" applyNumberFormat="1" applyFont="1" applyFill="1" applyBorder="1" applyAlignment="1">
      <alignment horizontal="center" vertical="center" wrapText="1"/>
    </xf>
    <xf numFmtId="9" fontId="5" fillId="0" borderId="6" xfId="0" applyNumberFormat="1" applyFont="1" applyBorder="1" applyAlignment="1">
      <alignment horizontal="center" vertical="center" wrapText="1"/>
    </xf>
    <xf numFmtId="9" fontId="19" fillId="0" borderId="5" xfId="0" applyNumberFormat="1" applyFont="1" applyBorder="1" applyAlignment="1">
      <alignment horizontal="center" vertical="center" wrapText="1"/>
    </xf>
    <xf numFmtId="9" fontId="19" fillId="0" borderId="6" xfId="0" applyNumberFormat="1" applyFont="1" applyBorder="1" applyAlignment="1">
      <alignment horizontal="center" vertical="center" wrapText="1"/>
    </xf>
    <xf numFmtId="49" fontId="2" fillId="8" borderId="48" xfId="0" applyNumberFormat="1" applyFont="1" applyFill="1" applyBorder="1" applyAlignment="1">
      <alignment horizontal="center" vertical="center" wrapText="1"/>
    </xf>
    <xf numFmtId="9" fontId="19" fillId="8" borderId="2" xfId="2" applyFont="1" applyFill="1" applyBorder="1" applyAlignment="1">
      <alignment horizontal="center" vertical="center" wrapText="1"/>
    </xf>
    <xf numFmtId="9" fontId="19" fillId="0" borderId="2" xfId="0" applyNumberFormat="1" applyFont="1" applyBorder="1" applyAlignment="1">
      <alignment horizontal="center" vertical="center" wrapText="1"/>
    </xf>
    <xf numFmtId="9" fontId="2" fillId="0" borderId="4" xfId="2" applyFont="1" applyFill="1" applyBorder="1" applyAlignment="1">
      <alignment horizontal="center" vertical="center" wrapText="1"/>
    </xf>
    <xf numFmtId="9" fontId="2" fillId="8" borderId="52" xfId="0" applyNumberFormat="1" applyFont="1" applyFill="1" applyBorder="1" applyAlignment="1">
      <alignment horizontal="center" vertical="center" wrapText="1"/>
    </xf>
    <xf numFmtId="9" fontId="2" fillId="0" borderId="3" xfId="2" applyFont="1" applyFill="1" applyBorder="1" applyAlignment="1">
      <alignment horizontal="center" vertical="center" wrapText="1"/>
    </xf>
    <xf numFmtId="9" fontId="2" fillId="8" borderId="53" xfId="2" applyFont="1" applyFill="1" applyBorder="1" applyAlignment="1">
      <alignment horizontal="center" vertical="center" wrapText="1"/>
    </xf>
    <xf numFmtId="49" fontId="2" fillId="5" borderId="54" xfId="0" applyNumberFormat="1" applyFont="1" applyFill="1" applyBorder="1" applyAlignment="1">
      <alignment horizontal="center" vertical="center" wrapText="1"/>
    </xf>
    <xf numFmtId="9" fontId="2" fillId="8" borderId="67" xfId="2" applyFont="1" applyFill="1" applyBorder="1" applyAlignment="1">
      <alignment horizontal="center" vertical="center" wrapText="1"/>
    </xf>
    <xf numFmtId="9" fontId="2" fillId="0" borderId="5" xfId="2" applyFont="1" applyFill="1" applyBorder="1" applyAlignment="1">
      <alignment horizontal="center" vertical="center" wrapText="1"/>
    </xf>
    <xf numFmtId="9" fontId="2" fillId="0" borderId="6" xfId="2" applyFont="1" applyFill="1" applyBorder="1" applyAlignment="1">
      <alignment horizontal="center" vertical="center" wrapText="1"/>
    </xf>
    <xf numFmtId="9" fontId="2" fillId="8" borderId="54" xfId="2" applyFont="1" applyFill="1" applyBorder="1" applyAlignment="1">
      <alignment horizontal="center" vertical="center" wrapText="1"/>
    </xf>
    <xf numFmtId="9" fontId="2" fillId="0" borderId="12" xfId="2" applyFont="1" applyFill="1" applyBorder="1" applyAlignment="1">
      <alignment horizontal="center" vertical="center" wrapText="1"/>
    </xf>
    <xf numFmtId="49" fontId="2" fillId="0" borderId="3" xfId="0" applyNumberFormat="1" applyFont="1" applyBorder="1" applyAlignment="1">
      <alignment horizontal="center" vertical="center" wrapText="1"/>
    </xf>
    <xf numFmtId="49" fontId="14" fillId="0" borderId="4" xfId="0" applyNumberFormat="1" applyFont="1" applyBorder="1" applyAlignment="1">
      <alignment horizontal="center" vertical="center" wrapText="1"/>
    </xf>
    <xf numFmtId="9" fontId="2" fillId="0" borderId="28" xfId="2" applyFont="1" applyFill="1" applyBorder="1" applyAlignment="1">
      <alignment horizontal="center" vertical="center" wrapText="1"/>
    </xf>
    <xf numFmtId="10" fontId="5" fillId="14" borderId="54" xfId="0" applyNumberFormat="1" applyFont="1" applyFill="1" applyBorder="1" applyAlignment="1">
      <alignment horizontal="center" vertical="center" wrapText="1"/>
    </xf>
    <xf numFmtId="10" fontId="5" fillId="14" borderId="11" xfId="0" applyNumberFormat="1" applyFont="1" applyFill="1" applyBorder="1" applyAlignment="1">
      <alignment horizontal="center" vertical="center" wrapText="1"/>
    </xf>
    <xf numFmtId="9" fontId="5" fillId="14" borderId="11" xfId="0" applyNumberFormat="1" applyFont="1" applyFill="1" applyBorder="1" applyAlignment="1">
      <alignment horizontal="center" vertical="center" wrapText="1"/>
    </xf>
    <xf numFmtId="10" fontId="5" fillId="11" borderId="65" xfId="0" applyNumberFormat="1" applyFont="1" applyFill="1" applyBorder="1" applyAlignment="1">
      <alignment horizontal="center" vertical="center" wrapText="1"/>
    </xf>
    <xf numFmtId="10" fontId="5" fillId="7" borderId="65" xfId="0" applyNumberFormat="1" applyFont="1" applyFill="1" applyBorder="1" applyAlignment="1">
      <alignment horizontal="center" vertical="center" wrapText="1"/>
    </xf>
    <xf numFmtId="10" fontId="5" fillId="13" borderId="65" xfId="0" applyNumberFormat="1" applyFont="1" applyFill="1" applyBorder="1" applyAlignment="1">
      <alignment horizontal="center" vertical="center" wrapText="1"/>
    </xf>
    <xf numFmtId="10" fontId="5" fillId="13" borderId="11" xfId="0" applyNumberFormat="1" applyFont="1" applyFill="1" applyBorder="1" applyAlignment="1">
      <alignment horizontal="center" vertical="center" wrapText="1"/>
    </xf>
    <xf numFmtId="0" fontId="0" fillId="0" borderId="52" xfId="0" applyBorder="1" applyAlignment="1">
      <alignment horizontal="left" vertical="center" wrapText="1"/>
    </xf>
    <xf numFmtId="0" fontId="0" fillId="8" borderId="53" xfId="0" applyFill="1" applyBorder="1" applyAlignment="1">
      <alignment horizontal="left" vertical="center" wrapText="1"/>
    </xf>
    <xf numFmtId="0" fontId="0" fillId="0" borderId="53" xfId="0" applyBorder="1" applyAlignment="1">
      <alignment horizontal="left" vertical="center" wrapText="1"/>
    </xf>
    <xf numFmtId="0" fontId="0" fillId="0" borderId="54" xfId="0" applyBorder="1" applyAlignment="1">
      <alignment horizontal="left" vertical="center" wrapText="1"/>
    </xf>
    <xf numFmtId="49" fontId="2" fillId="0" borderId="12" xfId="0" applyNumberFormat="1" applyFont="1" applyBorder="1" applyAlignment="1">
      <alignment horizontal="center" vertical="center" wrapText="1"/>
    </xf>
    <xf numFmtId="0" fontId="0" fillId="0" borderId="11" xfId="0" applyBorder="1" applyAlignment="1">
      <alignment horizontal="left" vertical="center" wrapText="1"/>
    </xf>
    <xf numFmtId="0" fontId="0" fillId="4" borderId="11" xfId="0" applyFill="1" applyBorder="1" applyAlignment="1">
      <alignment horizontal="center" vertical="center" wrapText="1"/>
    </xf>
    <xf numFmtId="49" fontId="14" fillId="7" borderId="1" xfId="0" applyNumberFormat="1" applyFont="1" applyFill="1" applyBorder="1" applyAlignment="1">
      <alignment horizontal="center" vertical="center" wrapText="1"/>
    </xf>
    <xf numFmtId="49" fontId="2" fillId="5" borderId="39" xfId="0" applyNumberFormat="1" applyFont="1" applyFill="1" applyBorder="1" applyAlignment="1">
      <alignment horizontal="center" vertical="center" wrapText="1"/>
    </xf>
    <xf numFmtId="0" fontId="0" fillId="0" borderId="50" xfId="0" applyBorder="1" applyAlignment="1">
      <alignment horizontal="center" vertical="center" wrapText="1"/>
    </xf>
    <xf numFmtId="49" fontId="2" fillId="5" borderId="42" xfId="0" applyNumberFormat="1" applyFont="1" applyFill="1"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49" fontId="9" fillId="0" borderId="36" xfId="0" applyNumberFormat="1" applyFont="1" applyBorder="1" applyAlignment="1">
      <alignment horizontal="center" vertical="center" wrapText="1"/>
    </xf>
    <xf numFmtId="0" fontId="5" fillId="0" borderId="20" xfId="0" applyFont="1" applyBorder="1" applyAlignment="1">
      <alignment horizontal="center" vertical="center" wrapText="1"/>
    </xf>
    <xf numFmtId="0" fontId="0" fillId="0" borderId="24" xfId="0" applyBorder="1" applyAlignment="1">
      <alignment horizontal="center" vertical="center" wrapText="1"/>
    </xf>
    <xf numFmtId="49" fontId="2" fillId="5" borderId="5" xfId="0" applyNumberFormat="1" applyFont="1" applyFill="1" applyBorder="1" applyAlignment="1">
      <alignment horizontal="center" vertical="center" wrapText="1"/>
    </xf>
    <xf numFmtId="0" fontId="5" fillId="15" borderId="2" xfId="0" applyFont="1" applyFill="1" applyBorder="1" applyAlignment="1">
      <alignment horizontal="center" vertical="center" wrapText="1"/>
    </xf>
    <xf numFmtId="49" fontId="2" fillId="15" borderId="24" xfId="0" applyNumberFormat="1" applyFont="1" applyFill="1" applyBorder="1" applyAlignment="1">
      <alignment horizontal="center" vertical="center" wrapText="1"/>
    </xf>
    <xf numFmtId="49" fontId="2" fillId="15" borderId="2" xfId="0" applyNumberFormat="1" applyFont="1" applyFill="1" applyBorder="1" applyAlignment="1">
      <alignment horizontal="center" vertical="center" wrapText="1"/>
    </xf>
    <xf numFmtId="9" fontId="5" fillId="15" borderId="2" xfId="0" applyNumberFormat="1" applyFont="1" applyFill="1" applyBorder="1" applyAlignment="1">
      <alignment horizontal="center" vertical="center" wrapText="1"/>
    </xf>
    <xf numFmtId="9" fontId="5" fillId="15" borderId="3" xfId="0" applyNumberFormat="1" applyFont="1" applyFill="1" applyBorder="1" applyAlignment="1">
      <alignment horizontal="center" vertical="center" wrapText="1"/>
    </xf>
    <xf numFmtId="9" fontId="2" fillId="5" borderId="9" xfId="2" applyFont="1" applyFill="1" applyBorder="1" applyAlignment="1">
      <alignment horizontal="center" vertical="center" wrapText="1"/>
    </xf>
    <xf numFmtId="10" fontId="5" fillId="8" borderId="52" xfId="2" applyNumberFormat="1" applyFont="1" applyFill="1" applyBorder="1" applyAlignment="1">
      <alignment horizontal="center" vertical="center" wrapText="1"/>
    </xf>
    <xf numFmtId="10" fontId="5" fillId="8" borderId="2" xfId="2" applyNumberFormat="1" applyFont="1" applyFill="1" applyBorder="1" applyAlignment="1">
      <alignment horizontal="center" vertical="center" wrapText="1"/>
    </xf>
    <xf numFmtId="10" fontId="5" fillId="8" borderId="3" xfId="2" applyNumberFormat="1" applyFont="1" applyFill="1" applyBorder="1" applyAlignment="1">
      <alignment horizontal="center" vertical="center" wrapText="1"/>
    </xf>
    <xf numFmtId="10" fontId="5" fillId="8" borderId="53" xfId="2" applyNumberFormat="1" applyFont="1" applyFill="1" applyBorder="1" applyAlignment="1">
      <alignment horizontal="center" vertical="center" wrapText="1"/>
    </xf>
    <xf numFmtId="10" fontId="5" fillId="8" borderId="1" xfId="2" applyNumberFormat="1" applyFont="1" applyFill="1" applyBorder="1" applyAlignment="1">
      <alignment horizontal="center" vertical="center" wrapText="1"/>
    </xf>
    <xf numFmtId="10" fontId="5" fillId="8" borderId="4" xfId="2" applyNumberFormat="1" applyFont="1" applyFill="1" applyBorder="1" applyAlignment="1">
      <alignment horizontal="center" vertical="center" wrapText="1"/>
    </xf>
    <xf numFmtId="10" fontId="5" fillId="0" borderId="4" xfId="2" applyNumberFormat="1" applyFont="1" applyFill="1" applyBorder="1" applyAlignment="1">
      <alignment horizontal="center" vertical="center" wrapText="1"/>
    </xf>
    <xf numFmtId="10" fontId="5" fillId="8" borderId="53" xfId="0" applyNumberFormat="1" applyFont="1" applyFill="1" applyBorder="1" applyAlignment="1">
      <alignment horizontal="center"/>
    </xf>
    <xf numFmtId="9" fontId="5" fillId="8" borderId="1" xfId="2" applyFont="1" applyFill="1" applyBorder="1" applyAlignment="1">
      <alignment horizontal="center"/>
    </xf>
    <xf numFmtId="10" fontId="5" fillId="8" borderId="1" xfId="0" applyNumberFormat="1" applyFont="1" applyFill="1" applyBorder="1" applyAlignment="1">
      <alignment horizontal="center"/>
    </xf>
    <xf numFmtId="10" fontId="5" fillId="8" borderId="4" xfId="0" applyNumberFormat="1" applyFont="1" applyFill="1" applyBorder="1" applyAlignment="1">
      <alignment horizontal="center"/>
    </xf>
    <xf numFmtId="10" fontId="5" fillId="8" borderId="54" xfId="2" applyNumberFormat="1" applyFont="1" applyFill="1" applyBorder="1" applyAlignment="1">
      <alignment horizontal="center" vertical="center" wrapText="1"/>
    </xf>
    <xf numFmtId="10" fontId="5" fillId="8" borderId="11" xfId="2" applyNumberFormat="1" applyFont="1" applyFill="1" applyBorder="1" applyAlignment="1">
      <alignment horizontal="center" vertical="center" wrapText="1"/>
    </xf>
    <xf numFmtId="10" fontId="5" fillId="8" borderId="12" xfId="2" applyNumberFormat="1" applyFont="1" applyFill="1" applyBorder="1" applyAlignment="1">
      <alignment horizontal="center" vertical="center" wrapText="1"/>
    </xf>
    <xf numFmtId="9" fontId="19" fillId="0" borderId="5" xfId="0" applyNumberFormat="1" applyFont="1" applyBorder="1" applyAlignment="1">
      <alignment vertical="center" wrapText="1"/>
    </xf>
    <xf numFmtId="9" fontId="5" fillId="0" borderId="5" xfId="2" applyFont="1" applyFill="1" applyBorder="1" applyAlignment="1">
      <alignment horizontal="center" vertical="center" wrapText="1"/>
    </xf>
    <xf numFmtId="9" fontId="10" fillId="0" borderId="1" xfId="2" applyFont="1" applyFill="1" applyBorder="1" applyAlignment="1">
      <alignment horizontal="center" vertical="center" wrapText="1"/>
    </xf>
    <xf numFmtId="9" fontId="10" fillId="0" borderId="32" xfId="2" applyFont="1" applyFill="1" applyBorder="1" applyAlignment="1">
      <alignment horizontal="center" vertical="center" wrapText="1"/>
    </xf>
    <xf numFmtId="0" fontId="5" fillId="0" borderId="67" xfId="0" applyFont="1" applyBorder="1" applyAlignment="1">
      <alignment horizontal="center" vertical="center" wrapText="1"/>
    </xf>
    <xf numFmtId="0" fontId="5" fillId="0" borderId="5" xfId="0" applyFont="1" applyBorder="1" applyAlignment="1">
      <alignment horizontal="center" vertical="center" wrapText="1"/>
    </xf>
    <xf numFmtId="0" fontId="5" fillId="15" borderId="5" xfId="0" applyFont="1" applyFill="1" applyBorder="1" applyAlignment="1">
      <alignment horizontal="center" vertical="center" wrapText="1"/>
    </xf>
    <xf numFmtId="0" fontId="2" fillId="15" borderId="14" xfId="0" applyFont="1" applyFill="1" applyBorder="1" applyAlignment="1">
      <alignment horizontal="center" vertical="center" wrapText="1"/>
    </xf>
    <xf numFmtId="0" fontId="2" fillId="0" borderId="5" xfId="0" applyFont="1" applyBorder="1" applyAlignment="1">
      <alignment horizontal="center" vertical="center" wrapText="1"/>
    </xf>
    <xf numFmtId="0" fontId="5" fillId="0" borderId="6" xfId="0" applyFont="1" applyBorder="1" applyAlignment="1">
      <alignment horizontal="center" vertical="center" wrapText="1"/>
    </xf>
    <xf numFmtId="9" fontId="5" fillId="5" borderId="1" xfId="0" applyNumberFormat="1" applyFont="1" applyFill="1" applyBorder="1" applyAlignment="1">
      <alignment horizontal="center" vertical="center" wrapText="1"/>
    </xf>
    <xf numFmtId="10" fontId="5" fillId="11" borderId="47" xfId="0" applyNumberFormat="1" applyFont="1" applyFill="1" applyBorder="1" applyAlignment="1">
      <alignment horizontal="center" vertical="center" wrapText="1"/>
    </xf>
    <xf numFmtId="9" fontId="5" fillId="11" borderId="47" xfId="0" applyNumberFormat="1" applyFont="1" applyFill="1" applyBorder="1" applyAlignment="1">
      <alignment horizontal="center" vertical="center" wrapText="1"/>
    </xf>
    <xf numFmtId="0" fontId="2" fillId="0" borderId="52" xfId="0" applyFont="1" applyBorder="1" applyAlignment="1">
      <alignment horizontal="center" vertical="center" wrapText="1"/>
    </xf>
    <xf numFmtId="0" fontId="5" fillId="0" borderId="53" xfId="0" applyFont="1" applyBorder="1" applyAlignment="1">
      <alignment horizontal="center" vertical="center" wrapText="1"/>
    </xf>
    <xf numFmtId="49" fontId="2" fillId="5" borderId="9" xfId="0" applyNumberFormat="1"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12" xfId="0" applyFont="1" applyBorder="1" applyAlignment="1">
      <alignment horizontal="center" vertical="center" wrapText="1"/>
    </xf>
    <xf numFmtId="9" fontId="2" fillId="5" borderId="30" xfId="2" applyFont="1" applyFill="1" applyBorder="1" applyAlignment="1">
      <alignment horizontal="center" vertical="center" wrapText="1"/>
    </xf>
    <xf numFmtId="9" fontId="2" fillId="5" borderId="42" xfId="2" applyFont="1" applyFill="1" applyBorder="1" applyAlignment="1">
      <alignment horizontal="center" vertical="center" wrapText="1"/>
    </xf>
    <xf numFmtId="0" fontId="2" fillId="2" borderId="35" xfId="0" applyFont="1" applyFill="1" applyBorder="1" applyAlignment="1">
      <alignment horizontal="center" vertical="center" wrapText="1"/>
    </xf>
    <xf numFmtId="49" fontId="22" fillId="5" borderId="2" xfId="0" applyNumberFormat="1" applyFont="1" applyFill="1" applyBorder="1" applyAlignment="1">
      <alignment horizontal="center" vertical="center" wrapText="1"/>
    </xf>
    <xf numFmtId="169" fontId="5" fillId="0" borderId="2" xfId="0" applyNumberFormat="1" applyFont="1" applyBorder="1" applyAlignment="1">
      <alignment horizontal="center" vertical="center" wrapText="1"/>
    </xf>
    <xf numFmtId="169" fontId="5" fillId="0" borderId="1" xfId="0" applyNumberFormat="1" applyFont="1" applyBorder="1" applyAlignment="1">
      <alignment horizontal="center" vertical="center" wrapText="1"/>
    </xf>
    <xf numFmtId="9" fontId="5" fillId="15" borderId="47" xfId="0" applyNumberFormat="1" applyFont="1" applyFill="1" applyBorder="1" applyAlignment="1">
      <alignment vertical="center" wrapText="1"/>
    </xf>
    <xf numFmtId="9" fontId="5" fillId="15" borderId="5" xfId="0" applyNumberFormat="1" applyFont="1" applyFill="1" applyBorder="1" applyAlignment="1">
      <alignment vertical="center" wrapText="1"/>
    </xf>
    <xf numFmtId="9" fontId="5" fillId="15" borderId="5" xfId="0" applyNumberFormat="1" applyFont="1" applyFill="1" applyBorder="1" applyAlignment="1">
      <alignment horizontal="center" vertical="center" wrapText="1"/>
    </xf>
    <xf numFmtId="9" fontId="5" fillId="15" borderId="49" xfId="0" applyNumberFormat="1" applyFont="1" applyFill="1" applyBorder="1" applyAlignment="1">
      <alignment vertical="center" wrapText="1"/>
    </xf>
    <xf numFmtId="9" fontId="5" fillId="15" borderId="9" xfId="0" applyNumberFormat="1" applyFont="1" applyFill="1" applyBorder="1" applyAlignment="1">
      <alignment vertical="center" wrapText="1"/>
    </xf>
    <xf numFmtId="9" fontId="5" fillId="15" borderId="1" xfId="0" applyNumberFormat="1" applyFont="1" applyFill="1" applyBorder="1" applyAlignment="1">
      <alignment vertical="center" wrapText="1"/>
    </xf>
    <xf numFmtId="9" fontId="5" fillId="15" borderId="1" xfId="0" applyNumberFormat="1" applyFont="1" applyFill="1" applyBorder="1" applyAlignment="1">
      <alignment horizontal="center" vertical="center" wrapText="1"/>
    </xf>
    <xf numFmtId="9" fontId="5" fillId="15" borderId="13" xfId="0" applyNumberFormat="1" applyFont="1" applyFill="1" applyBorder="1" applyAlignment="1">
      <alignment vertical="center" wrapText="1"/>
    </xf>
    <xf numFmtId="9" fontId="25" fillId="0" borderId="71" xfId="0" applyNumberFormat="1" applyFont="1" applyBorder="1" applyAlignment="1">
      <alignment horizontal="center" vertical="center" wrapText="1" readingOrder="1"/>
    </xf>
    <xf numFmtId="0" fontId="25" fillId="0" borderId="71" xfId="0" applyFont="1" applyBorder="1" applyAlignment="1">
      <alignment horizontal="center" vertical="center" wrapText="1" readingOrder="1"/>
    </xf>
    <xf numFmtId="9" fontId="26" fillId="0" borderId="71" xfId="0" applyNumberFormat="1" applyFont="1" applyBorder="1" applyAlignment="1">
      <alignment horizontal="center" vertical="center" wrapText="1" readingOrder="1"/>
    </xf>
    <xf numFmtId="10" fontId="26" fillId="0" borderId="71" xfId="0" applyNumberFormat="1" applyFont="1" applyBorder="1" applyAlignment="1">
      <alignment horizontal="center" vertical="center" wrapText="1" readingOrder="1"/>
    </xf>
    <xf numFmtId="10" fontId="25" fillId="0" borderId="71" xfId="0" applyNumberFormat="1" applyFont="1" applyBorder="1" applyAlignment="1">
      <alignment horizontal="center" vertical="center" wrapText="1" readingOrder="1"/>
    </xf>
    <xf numFmtId="10" fontId="27" fillId="0" borderId="71" xfId="0" applyNumberFormat="1" applyFont="1" applyBorder="1" applyAlignment="1">
      <alignment horizontal="center" vertical="center" wrapText="1" readingOrder="1"/>
    </xf>
    <xf numFmtId="0" fontId="0" fillId="0" borderId="1" xfId="0" applyBorder="1" applyAlignment="1">
      <alignment vertical="center" wrapText="1"/>
    </xf>
    <xf numFmtId="9" fontId="2" fillId="5" borderId="1" xfId="0" applyNumberFormat="1" applyFont="1" applyFill="1" applyBorder="1" applyAlignment="1">
      <alignment horizontal="center" vertical="center" wrapText="1"/>
    </xf>
    <xf numFmtId="0" fontId="0" fillId="0" borderId="1" xfId="0" applyBorder="1" applyAlignment="1">
      <alignment horizontal="right" vertical="center" wrapText="1" indent="2"/>
    </xf>
    <xf numFmtId="1" fontId="2" fillId="5" borderId="1" xfId="0" applyNumberFormat="1" applyFont="1" applyFill="1" applyBorder="1" applyAlignment="1">
      <alignment horizontal="center" vertical="center" wrapText="1"/>
    </xf>
    <xf numFmtId="1" fontId="1" fillId="0" borderId="1" xfId="0" applyNumberFormat="1" applyFont="1" applyBorder="1" applyAlignment="1">
      <alignment horizontal="center" vertical="center" wrapText="1"/>
    </xf>
    <xf numFmtId="2" fontId="0" fillId="0" borderId="1" xfId="0" applyNumberFormat="1" applyBorder="1" applyAlignment="1">
      <alignment horizontal="center" vertical="center" wrapText="1"/>
    </xf>
    <xf numFmtId="4" fontId="0" fillId="0" borderId="1" xfId="0" applyNumberFormat="1" applyBorder="1" applyAlignment="1">
      <alignment horizontal="center" vertical="center" wrapText="1"/>
    </xf>
    <xf numFmtId="0" fontId="0" fillId="0" borderId="1" xfId="0" applyBorder="1" applyAlignment="1">
      <alignment horizontal="left" vertical="top"/>
    </xf>
    <xf numFmtId="49" fontId="14" fillId="0" borderId="42" xfId="0" applyNumberFormat="1" applyFont="1" applyBorder="1" applyAlignment="1">
      <alignment horizontal="center" vertical="center" wrapText="1"/>
    </xf>
    <xf numFmtId="0" fontId="0" fillId="0" borderId="1" xfId="0" applyBorder="1" applyAlignment="1">
      <alignment horizontal="left" vertical="center" wrapText="1"/>
    </xf>
    <xf numFmtId="9" fontId="10" fillId="8" borderId="33" xfId="2" applyFont="1" applyFill="1" applyBorder="1" applyAlignment="1">
      <alignment horizontal="center" vertical="center" wrapText="1"/>
    </xf>
    <xf numFmtId="9" fontId="10" fillId="8" borderId="1" xfId="2" applyFont="1" applyFill="1" applyBorder="1" applyAlignment="1">
      <alignment horizontal="center" vertical="center" wrapText="1"/>
    </xf>
    <xf numFmtId="9" fontId="10" fillId="8" borderId="32" xfId="2" applyFont="1" applyFill="1" applyBorder="1" applyAlignment="1">
      <alignment horizontal="center" vertical="center" wrapText="1"/>
    </xf>
    <xf numFmtId="10" fontId="0" fillId="0" borderId="2" xfId="0" applyNumberFormat="1" applyBorder="1" applyAlignment="1">
      <alignment horizontal="center" vertical="center" wrapText="1"/>
    </xf>
    <xf numFmtId="9" fontId="10" fillId="0" borderId="7" xfId="2" applyFont="1" applyFill="1" applyBorder="1" applyAlignment="1">
      <alignment horizontal="center" vertical="center" wrapText="1"/>
    </xf>
    <xf numFmtId="9" fontId="10" fillId="8" borderId="7" xfId="2" applyFont="1" applyFill="1" applyBorder="1" applyAlignment="1">
      <alignment horizontal="center" vertical="center" wrapText="1"/>
    </xf>
    <xf numFmtId="10" fontId="0" fillId="0" borderId="24" xfId="0" applyNumberFormat="1" applyBorder="1" applyAlignment="1">
      <alignment horizontal="center" vertical="center" wrapText="1"/>
    </xf>
    <xf numFmtId="1" fontId="1" fillId="0" borderId="7" xfId="0" applyNumberFormat="1" applyFont="1" applyBorder="1" applyAlignment="1">
      <alignment horizontal="center" vertical="center" wrapText="1"/>
    </xf>
    <xf numFmtId="2" fontId="0" fillId="0" borderId="7" xfId="0" applyNumberFormat="1" applyBorder="1" applyAlignment="1">
      <alignment horizontal="center" vertical="center" wrapText="1"/>
    </xf>
    <xf numFmtId="4" fontId="0" fillId="0" borderId="7" xfId="0" applyNumberFormat="1" applyBorder="1" applyAlignment="1">
      <alignment horizontal="center" vertical="center" wrapText="1"/>
    </xf>
    <xf numFmtId="49" fontId="2" fillId="0" borderId="30" xfId="0" applyNumberFormat="1" applyFont="1" applyBorder="1" applyAlignment="1">
      <alignment horizontal="center" vertical="center" wrapText="1"/>
    </xf>
    <xf numFmtId="49" fontId="2" fillId="0" borderId="31" xfId="0" applyNumberFormat="1" applyFont="1" applyBorder="1" applyAlignment="1">
      <alignment horizontal="center" vertical="center" wrapText="1"/>
    </xf>
    <xf numFmtId="49" fontId="14" fillId="0" borderId="43" xfId="0" applyNumberFormat="1" applyFont="1" applyBorder="1" applyAlignment="1">
      <alignment horizontal="center" vertical="center" wrapText="1"/>
    </xf>
    <xf numFmtId="49" fontId="2" fillId="5" borderId="31" xfId="0" applyNumberFormat="1" applyFont="1" applyFill="1" applyBorder="1" applyAlignment="1">
      <alignment horizontal="center" vertical="center" wrapText="1"/>
    </xf>
    <xf numFmtId="49" fontId="2" fillId="5" borderId="34" xfId="0" applyNumberFormat="1" applyFont="1" applyFill="1" applyBorder="1" applyAlignment="1">
      <alignment horizontal="center" vertical="center" wrapText="1"/>
    </xf>
    <xf numFmtId="49" fontId="2" fillId="5" borderId="40" xfId="0" applyNumberFormat="1" applyFont="1" applyFill="1" applyBorder="1" applyAlignment="1">
      <alignment horizontal="center" vertical="center" wrapText="1"/>
    </xf>
    <xf numFmtId="49" fontId="2" fillId="5" borderId="37" xfId="0" applyNumberFormat="1" applyFont="1" applyFill="1" applyBorder="1" applyAlignment="1">
      <alignment horizontal="center" vertical="center" wrapText="1"/>
    </xf>
    <xf numFmtId="49" fontId="2" fillId="5" borderId="43" xfId="0" applyNumberFormat="1" applyFont="1" applyFill="1" applyBorder="1" applyAlignment="1">
      <alignment horizontal="center" vertical="center" wrapText="1"/>
    </xf>
    <xf numFmtId="9" fontId="2" fillId="5" borderId="31" xfId="2" applyFont="1" applyFill="1" applyBorder="1" applyAlignment="1">
      <alignment horizontal="center" vertical="center" wrapText="1"/>
    </xf>
    <xf numFmtId="9" fontId="2" fillId="5" borderId="43" xfId="2" applyFont="1" applyFill="1" applyBorder="1" applyAlignment="1">
      <alignment horizontal="center" vertical="center" wrapText="1"/>
    </xf>
    <xf numFmtId="43" fontId="2" fillId="8" borderId="31" xfId="1" applyNumberFormat="1" applyFont="1" applyFill="1" applyBorder="1" applyAlignment="1">
      <alignment horizontal="right" vertical="center" wrapText="1"/>
    </xf>
    <xf numFmtId="165" fontId="2" fillId="8" borderId="40" xfId="1" applyFont="1" applyFill="1" applyBorder="1" applyAlignment="1">
      <alignment horizontal="right" vertical="center" wrapText="1"/>
    </xf>
    <xf numFmtId="49" fontId="14" fillId="5" borderId="31" xfId="0" applyNumberFormat="1" applyFont="1" applyFill="1" applyBorder="1" applyAlignment="1">
      <alignment horizontal="center" vertical="center" wrapText="1"/>
    </xf>
    <xf numFmtId="49" fontId="14" fillId="5" borderId="34" xfId="0" applyNumberFormat="1" applyFont="1" applyFill="1" applyBorder="1" applyAlignment="1">
      <alignment horizontal="center" vertical="center" wrapText="1"/>
    </xf>
    <xf numFmtId="49" fontId="14" fillId="5" borderId="37" xfId="0" applyNumberFormat="1" applyFont="1" applyFill="1" applyBorder="1" applyAlignment="1">
      <alignment horizontal="center" vertical="center" wrapText="1"/>
    </xf>
    <xf numFmtId="0" fontId="5" fillId="0" borderId="21" xfId="0" applyFont="1" applyBorder="1" applyAlignment="1">
      <alignment horizontal="center" vertical="center" wrapText="1"/>
    </xf>
    <xf numFmtId="0" fontId="0" fillId="0" borderId="11" xfId="0" applyBorder="1" applyAlignment="1">
      <alignment vertical="center" wrapText="1"/>
    </xf>
    <xf numFmtId="1" fontId="2" fillId="5" borderId="11" xfId="0" applyNumberFormat="1" applyFont="1" applyFill="1" applyBorder="1" applyAlignment="1">
      <alignment horizontal="center" vertical="center" wrapText="1"/>
    </xf>
    <xf numFmtId="0" fontId="0" fillId="0" borderId="2" xfId="0" applyBorder="1" applyAlignment="1">
      <alignment vertical="center" wrapText="1"/>
    </xf>
    <xf numFmtId="9" fontId="2" fillId="5" borderId="2" xfId="0" applyNumberFormat="1" applyFont="1" applyFill="1" applyBorder="1" applyAlignment="1">
      <alignment horizontal="center" vertical="center" wrapText="1"/>
    </xf>
    <xf numFmtId="0" fontId="0" fillId="0" borderId="56" xfId="0" applyBorder="1" applyAlignment="1">
      <alignment vertical="center"/>
    </xf>
    <xf numFmtId="0" fontId="0" fillId="0" borderId="58" xfId="0" applyBorder="1" applyAlignment="1">
      <alignment vertical="center"/>
    </xf>
    <xf numFmtId="0" fontId="0" fillId="0" borderId="58" xfId="0" applyBorder="1" applyAlignment="1">
      <alignment horizontal="center" vertical="center"/>
    </xf>
    <xf numFmtId="0" fontId="2" fillId="2" borderId="54" xfId="0" applyFont="1" applyFill="1" applyBorder="1" applyAlignment="1">
      <alignment horizontal="center" vertical="center" wrapText="1"/>
    </xf>
    <xf numFmtId="0" fontId="2" fillId="4" borderId="12" xfId="0" applyFont="1" applyFill="1" applyBorder="1" applyAlignment="1">
      <alignment horizontal="center" vertical="center" wrapText="1"/>
    </xf>
    <xf numFmtId="49" fontId="2" fillId="0" borderId="36" xfId="0" applyNumberFormat="1" applyFont="1" applyBorder="1" applyAlignment="1">
      <alignment horizontal="center" vertical="center" wrapText="1"/>
    </xf>
    <xf numFmtId="49" fontId="2" fillId="0" borderId="37" xfId="0" applyNumberFormat="1" applyFont="1" applyBorder="1" applyAlignment="1">
      <alignment horizontal="center" vertical="center" wrapText="1"/>
    </xf>
    <xf numFmtId="0" fontId="0" fillId="0" borderId="74" xfId="0" applyBorder="1" applyAlignment="1">
      <alignment horizontal="center" vertical="center" wrapText="1"/>
    </xf>
    <xf numFmtId="49" fontId="9" fillId="0" borderId="37" xfId="0" applyNumberFormat="1" applyFont="1" applyBorder="1" applyAlignment="1">
      <alignment horizontal="center" vertical="center" wrapText="1"/>
    </xf>
    <xf numFmtId="10"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0" fontId="0" fillId="0" borderId="7" xfId="0" applyNumberFormat="1" applyBorder="1" applyAlignment="1">
      <alignment horizontal="center" vertical="center" wrapText="1"/>
    </xf>
    <xf numFmtId="49" fontId="14" fillId="0" borderId="1" xfId="0" applyNumberFormat="1" applyFont="1" applyBorder="1" applyAlignment="1">
      <alignment horizontal="center" vertical="center" wrapText="1"/>
    </xf>
    <xf numFmtId="49" fontId="2" fillId="0" borderId="11" xfId="0" applyNumberFormat="1" applyFont="1" applyBorder="1" applyAlignment="1">
      <alignment horizontal="center" vertical="center" wrapText="1"/>
    </xf>
    <xf numFmtId="9" fontId="10" fillId="0" borderId="4" xfId="2" applyFont="1" applyFill="1" applyBorder="1" applyAlignment="1">
      <alignment horizontal="center" vertical="center" wrapText="1"/>
    </xf>
    <xf numFmtId="10" fontId="0" fillId="0" borderId="1" xfId="0" applyNumberFormat="1" applyBorder="1" applyAlignment="1">
      <alignment horizontal="center" vertical="center" wrapText="1"/>
    </xf>
    <xf numFmtId="9" fontId="2" fillId="5" borderId="3" xfId="2" applyFont="1" applyFill="1" applyBorder="1" applyAlignment="1">
      <alignment horizontal="center" vertical="center" wrapText="1"/>
    </xf>
    <xf numFmtId="9" fontId="2" fillId="5" borderId="4" xfId="2" applyFont="1" applyFill="1" applyBorder="1" applyAlignment="1">
      <alignment horizontal="center" vertical="center" wrapText="1"/>
    </xf>
    <xf numFmtId="49" fontId="14" fillId="5" borderId="3" xfId="0" applyNumberFormat="1" applyFont="1" applyFill="1" applyBorder="1" applyAlignment="1">
      <alignment horizontal="center" vertical="center" wrapText="1"/>
    </xf>
    <xf numFmtId="49" fontId="14" fillId="5" borderId="4" xfId="0" applyNumberFormat="1" applyFont="1" applyFill="1" applyBorder="1" applyAlignment="1">
      <alignment horizontal="center" vertical="center" wrapText="1"/>
    </xf>
    <xf numFmtId="49" fontId="14" fillId="5" borderId="12" xfId="0"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wrapText="1"/>
    </xf>
    <xf numFmtId="0" fontId="0" fillId="0" borderId="61" xfId="0" applyBorder="1" applyAlignment="1">
      <alignment wrapText="1"/>
    </xf>
    <xf numFmtId="0" fontId="0" fillId="0" borderId="61" xfId="0" applyBorder="1" applyAlignment="1">
      <alignment vertical="center" wrapText="1"/>
    </xf>
    <xf numFmtId="0" fontId="0" fillId="0" borderId="7" xfId="0" applyBorder="1" applyAlignment="1">
      <alignment horizontal="center" vertical="center" wrapText="1"/>
    </xf>
    <xf numFmtId="0" fontId="0" fillId="8" borderId="2" xfId="0" applyFill="1" applyBorder="1" applyAlignment="1">
      <alignment horizontal="center" vertical="center" wrapText="1"/>
    </xf>
    <xf numFmtId="0" fontId="0" fillId="0" borderId="22" xfId="0" applyBorder="1" applyAlignment="1">
      <alignment horizontal="center" vertical="center" wrapText="1"/>
    </xf>
    <xf numFmtId="9" fontId="1" fillId="0" borderId="52" xfId="2" applyFont="1" applyFill="1" applyBorder="1" applyAlignment="1">
      <alignment horizontal="center" vertical="center" wrapText="1"/>
    </xf>
    <xf numFmtId="9" fontId="1" fillId="0" borderId="24" xfId="2" applyFont="1" applyFill="1" applyBorder="1" applyAlignment="1">
      <alignment horizontal="center" vertical="center" wrapText="1"/>
    </xf>
    <xf numFmtId="9" fontId="1" fillId="0" borderId="2" xfId="2" applyFont="1" applyFill="1" applyBorder="1" applyAlignment="1">
      <alignment horizontal="center" vertical="center" wrapText="1"/>
    </xf>
    <xf numFmtId="9" fontId="7" fillId="0" borderId="2" xfId="2" applyFont="1" applyFill="1" applyBorder="1" applyAlignment="1">
      <alignment horizontal="center" vertical="center" wrapText="1"/>
    </xf>
    <xf numFmtId="9" fontId="7" fillId="8" borderId="2" xfId="2" applyFont="1" applyFill="1" applyBorder="1" applyAlignment="1">
      <alignment horizontal="center" vertical="center" wrapText="1"/>
    </xf>
    <xf numFmtId="9" fontId="1" fillId="8" borderId="2" xfId="2" applyFont="1" applyFill="1" applyBorder="1" applyAlignment="1">
      <alignment horizontal="center" vertical="center" wrapText="1"/>
    </xf>
    <xf numFmtId="9" fontId="1" fillId="8" borderId="3" xfId="2" applyFont="1" applyFill="1" applyBorder="1" applyAlignment="1">
      <alignment horizontal="center" vertical="center" wrapText="1"/>
    </xf>
    <xf numFmtId="9" fontId="7" fillId="0" borderId="53" xfId="2" applyFont="1" applyFill="1" applyBorder="1" applyAlignment="1">
      <alignment horizontal="center" vertical="center" wrapText="1"/>
    </xf>
    <xf numFmtId="9" fontId="7" fillId="0" borderId="7" xfId="2" applyFont="1" applyFill="1" applyBorder="1" applyAlignment="1">
      <alignment horizontal="center" vertical="center" wrapText="1"/>
    </xf>
    <xf numFmtId="9" fontId="7" fillId="0" borderId="1" xfId="2" applyFont="1" applyFill="1" applyBorder="1" applyAlignment="1">
      <alignment horizontal="center" vertical="center" wrapText="1"/>
    </xf>
    <xf numFmtId="9" fontId="7" fillId="8" borderId="1" xfId="2" applyFont="1" applyFill="1" applyBorder="1" applyAlignment="1">
      <alignment horizontal="center" vertical="center" wrapText="1"/>
    </xf>
    <xf numFmtId="9" fontId="7" fillId="8" borderId="9" xfId="2" applyFont="1" applyFill="1" applyBorder="1" applyAlignment="1">
      <alignment horizontal="center" vertical="center" wrapText="1"/>
    </xf>
    <xf numFmtId="9" fontId="7" fillId="8" borderId="26" xfId="2" applyFont="1" applyFill="1" applyBorder="1" applyAlignment="1">
      <alignment horizontal="center" vertical="center" wrapText="1"/>
    </xf>
    <xf numFmtId="10" fontId="1" fillId="0" borderId="53" xfId="2" applyNumberFormat="1" applyFont="1" applyFill="1" applyBorder="1" applyAlignment="1">
      <alignment horizontal="center" vertical="center" wrapText="1"/>
    </xf>
    <xf numFmtId="9" fontId="1" fillId="0" borderId="7" xfId="2" applyFont="1" applyFill="1" applyBorder="1" applyAlignment="1">
      <alignment horizontal="center" vertical="center" wrapText="1"/>
    </xf>
    <xf numFmtId="9" fontId="1" fillId="0" borderId="1" xfId="2" applyFont="1" applyFill="1" applyBorder="1" applyAlignment="1">
      <alignment horizontal="center" vertical="center" wrapText="1"/>
    </xf>
    <xf numFmtId="10" fontId="1" fillId="0" borderId="1" xfId="2" applyNumberFormat="1" applyFont="1" applyFill="1" applyBorder="1" applyAlignment="1">
      <alignment horizontal="center" vertical="center" wrapText="1"/>
    </xf>
    <xf numFmtId="9" fontId="7" fillId="0" borderId="22" xfId="2" applyFont="1" applyFill="1" applyBorder="1" applyAlignment="1">
      <alignment horizontal="center" vertical="center" wrapText="1"/>
    </xf>
    <xf numFmtId="9" fontId="7" fillId="0" borderId="37" xfId="2" applyFont="1" applyFill="1" applyBorder="1" applyAlignment="1">
      <alignment horizontal="center" vertical="center" wrapText="1"/>
    </xf>
    <xf numFmtId="166" fontId="29" fillId="0" borderId="1" xfId="1" applyNumberFormat="1" applyFont="1" applyFill="1" applyBorder="1" applyAlignment="1">
      <alignment horizontal="center" vertical="center" wrapText="1"/>
    </xf>
    <xf numFmtId="166" fontId="29" fillId="0" borderId="4" xfId="1" applyNumberFormat="1" applyFont="1" applyFill="1" applyBorder="1" applyAlignment="1">
      <alignment horizontal="center" vertical="center" wrapText="1"/>
    </xf>
    <xf numFmtId="43" fontId="29" fillId="0" borderId="11" xfId="1" applyNumberFormat="1" applyFont="1" applyFill="1" applyBorder="1" applyAlignment="1">
      <alignment horizontal="center" vertical="center" wrapText="1"/>
    </xf>
    <xf numFmtId="43" fontId="29" fillId="8" borderId="11" xfId="1" applyNumberFormat="1" applyFont="1" applyFill="1" applyBorder="1" applyAlignment="1">
      <alignment horizontal="center" vertical="center" wrapText="1"/>
    </xf>
    <xf numFmtId="9" fontId="1" fillId="5" borderId="24" xfId="0" applyNumberFormat="1" applyFont="1" applyFill="1" applyBorder="1" applyAlignment="1">
      <alignment horizontal="center" vertical="center" wrapText="1"/>
    </xf>
    <xf numFmtId="9" fontId="1" fillId="5" borderId="2" xfId="0" applyNumberFormat="1" applyFont="1" applyFill="1" applyBorder="1" applyAlignment="1">
      <alignment horizontal="center" vertical="center" wrapText="1"/>
    </xf>
    <xf numFmtId="9" fontId="0" fillId="0" borderId="62" xfId="0" applyNumberFormat="1" applyBorder="1" applyAlignment="1">
      <alignment horizontal="center" vertical="center" wrapText="1"/>
    </xf>
    <xf numFmtId="9" fontId="0" fillId="8" borderId="62" xfId="0" applyNumberFormat="1" applyFill="1" applyBorder="1" applyAlignment="1">
      <alignment vertical="center" wrapText="1"/>
    </xf>
    <xf numFmtId="9" fontId="0" fillId="8" borderId="61" xfId="0" applyNumberFormat="1" applyFill="1" applyBorder="1" applyAlignment="1">
      <alignment vertical="center" wrapText="1"/>
    </xf>
    <xf numFmtId="166" fontId="29" fillId="0" borderId="7" xfId="1" applyNumberFormat="1" applyFont="1" applyFill="1" applyBorder="1" applyAlignment="1">
      <alignment horizontal="center" vertical="center" wrapText="1"/>
    </xf>
    <xf numFmtId="10" fontId="29" fillId="0" borderId="1" xfId="2" applyNumberFormat="1" applyFont="1" applyFill="1" applyBorder="1" applyAlignment="1">
      <alignment horizontal="center" vertical="center" wrapText="1"/>
    </xf>
    <xf numFmtId="166" fontId="29" fillId="8" borderId="24" xfId="1" applyNumberFormat="1" applyFont="1" applyFill="1" applyBorder="1" applyAlignment="1">
      <alignment horizontal="center" vertical="center" wrapText="1"/>
    </xf>
    <xf numFmtId="166" fontId="29" fillId="8" borderId="2" xfId="1" applyNumberFormat="1" applyFont="1" applyFill="1" applyBorder="1" applyAlignment="1">
      <alignment horizontal="center" vertical="center" wrapText="1"/>
    </xf>
    <xf numFmtId="43" fontId="29" fillId="8" borderId="22" xfId="1" applyNumberFormat="1" applyFont="1" applyFill="1" applyBorder="1" applyAlignment="1">
      <alignment horizontal="center" vertical="center" wrapText="1"/>
    </xf>
    <xf numFmtId="166" fontId="29" fillId="8" borderId="11" xfId="1" applyNumberFormat="1" applyFont="1" applyFill="1" applyBorder="1" applyAlignment="1">
      <alignment horizontal="center" vertical="center" wrapText="1"/>
    </xf>
    <xf numFmtId="21" fontId="0" fillId="0" borderId="2" xfId="0" applyNumberFormat="1" applyBorder="1" applyAlignment="1">
      <alignment horizontal="center" vertical="center" wrapText="1"/>
    </xf>
    <xf numFmtId="21" fontId="0" fillId="0" borderId="3" xfId="0" applyNumberFormat="1" applyBorder="1" applyAlignment="1">
      <alignment horizontal="center" vertical="center" wrapText="1"/>
    </xf>
    <xf numFmtId="169" fontId="0" fillId="5" borderId="7" xfId="0" applyNumberFormat="1" applyFill="1" applyBorder="1" applyAlignment="1">
      <alignment horizontal="center" vertical="center" wrapText="1"/>
    </xf>
    <xf numFmtId="169" fontId="0" fillId="5" borderId="1" xfId="0" applyNumberFormat="1" applyFill="1" applyBorder="1" applyAlignment="1">
      <alignment horizontal="center" vertical="center" wrapText="1"/>
    </xf>
    <xf numFmtId="21" fontId="0" fillId="0" borderId="1" xfId="0" applyNumberFormat="1" applyBorder="1" applyAlignment="1">
      <alignment horizontal="center" vertical="center" wrapText="1"/>
    </xf>
    <xf numFmtId="169" fontId="0" fillId="0" borderId="24" xfId="0" applyNumberFormat="1" applyBorder="1" applyAlignment="1">
      <alignment horizontal="center" vertical="center" wrapText="1"/>
    </xf>
    <xf numFmtId="169" fontId="0" fillId="0" borderId="2" xfId="0" applyNumberFormat="1" applyBorder="1" applyAlignment="1">
      <alignment horizontal="center" vertical="center" wrapText="1"/>
    </xf>
    <xf numFmtId="49" fontId="0" fillId="0" borderId="24" xfId="0" applyNumberFormat="1" applyBorder="1" applyAlignment="1">
      <alignment horizontal="center" vertical="center" wrapText="1"/>
    </xf>
    <xf numFmtId="49" fontId="0" fillId="0" borderId="2" xfId="0" applyNumberFormat="1" applyBorder="1" applyAlignment="1">
      <alignment horizontal="center" vertical="center" wrapText="1"/>
    </xf>
    <xf numFmtId="49" fontId="0" fillId="0" borderId="7" xfId="0" applyNumberFormat="1" applyBorder="1" applyAlignment="1">
      <alignment horizontal="center" vertical="center" wrapText="1"/>
    </xf>
    <xf numFmtId="49" fontId="0" fillId="0" borderId="1" xfId="0" applyNumberFormat="1" applyBorder="1" applyAlignment="1">
      <alignment horizontal="center" vertical="center" wrapText="1"/>
    </xf>
    <xf numFmtId="49" fontId="0" fillId="0" borderId="4" xfId="0" applyNumberFormat="1" applyBorder="1" applyAlignment="1">
      <alignment horizontal="center" vertical="center" wrapText="1"/>
    </xf>
    <xf numFmtId="169" fontId="0" fillId="0" borderId="7" xfId="0" applyNumberFormat="1" applyBorder="1" applyAlignment="1">
      <alignment horizontal="center" vertical="center" wrapText="1"/>
    </xf>
    <xf numFmtId="10" fontId="7" fillId="0" borderId="2" xfId="2" applyNumberFormat="1" applyFont="1" applyFill="1" applyBorder="1" applyAlignment="1">
      <alignment horizontal="center" vertical="center" wrapText="1"/>
    </xf>
    <xf numFmtId="10" fontId="7" fillId="0" borderId="3" xfId="2" applyNumberFormat="1" applyFont="1" applyFill="1" applyBorder="1" applyAlignment="1">
      <alignment horizontal="center" vertical="center" wrapText="1"/>
    </xf>
    <xf numFmtId="0" fontId="0" fillId="0" borderId="3" xfId="0" applyBorder="1" applyAlignment="1">
      <alignment vertical="center" wrapText="1"/>
    </xf>
    <xf numFmtId="0" fontId="0" fillId="0" borderId="12" xfId="0" applyBorder="1" applyAlignment="1">
      <alignment vertical="center" wrapText="1"/>
    </xf>
    <xf numFmtId="166" fontId="7" fillId="0" borderId="24" xfId="4" applyNumberFormat="1" applyFont="1" applyBorder="1" applyAlignment="1">
      <alignment horizontal="center" vertical="center" wrapText="1"/>
    </xf>
    <xf numFmtId="168" fontId="7" fillId="0" borderId="2" xfId="1" applyNumberFormat="1" applyFont="1" applyFill="1" applyBorder="1" applyAlignment="1">
      <alignment horizontal="center" vertical="center" wrapText="1"/>
    </xf>
    <xf numFmtId="0" fontId="0" fillId="8" borderId="3" xfId="0" applyFill="1" applyBorder="1" applyAlignment="1">
      <alignment horizontal="center" vertical="center" wrapText="1"/>
    </xf>
    <xf numFmtId="0" fontId="0" fillId="0" borderId="5" xfId="0" applyBorder="1" applyAlignment="1">
      <alignment horizontal="right" vertical="center" wrapText="1" indent="2"/>
    </xf>
    <xf numFmtId="1" fontId="2" fillId="5" borderId="5" xfId="0" applyNumberFormat="1" applyFont="1" applyFill="1" applyBorder="1" applyAlignment="1">
      <alignment horizontal="center" vertical="center" wrapText="1"/>
    </xf>
    <xf numFmtId="1" fontId="0" fillId="0" borderId="14" xfId="0" applyNumberFormat="1" applyBorder="1" applyAlignment="1">
      <alignment horizontal="center" vertical="center" wrapText="1"/>
    </xf>
    <xf numFmtId="1" fontId="0" fillId="0" borderId="5" xfId="0" applyNumberFormat="1" applyBorder="1" applyAlignment="1">
      <alignment horizontal="center" vertical="center" wrapText="1"/>
    </xf>
    <xf numFmtId="10" fontId="1" fillId="0" borderId="5" xfId="0" applyNumberFormat="1" applyFont="1" applyBorder="1" applyAlignment="1">
      <alignment horizontal="center" vertical="center" wrapText="1"/>
    </xf>
    <xf numFmtId="10" fontId="0" fillId="0" borderId="5" xfId="0" applyNumberFormat="1" applyBorder="1" applyAlignment="1">
      <alignment horizontal="center" vertical="center" wrapText="1"/>
    </xf>
    <xf numFmtId="0" fontId="0" fillId="0" borderId="9" xfId="0" applyBorder="1" applyAlignment="1">
      <alignment vertical="center" wrapText="1"/>
    </xf>
    <xf numFmtId="9" fontId="2" fillId="5" borderId="9" xfId="0" applyNumberFormat="1" applyFont="1" applyFill="1" applyBorder="1" applyAlignment="1">
      <alignment horizontal="center" vertical="center" wrapText="1"/>
    </xf>
    <xf numFmtId="9" fontId="0" fillId="0" borderId="13" xfId="0" applyNumberFormat="1" applyBorder="1" applyAlignment="1">
      <alignment horizontal="center" vertical="center" wrapText="1"/>
    </xf>
    <xf numFmtId="9" fontId="0" fillId="0" borderId="9" xfId="0" applyNumberFormat="1" applyBorder="1" applyAlignment="1">
      <alignment horizontal="center" vertical="center" wrapText="1"/>
    </xf>
    <xf numFmtId="1" fontId="0" fillId="0" borderId="9" xfId="0" applyNumberFormat="1" applyBorder="1" applyAlignment="1">
      <alignment horizontal="center" vertical="center" wrapText="1"/>
    </xf>
    <xf numFmtId="0" fontId="5" fillId="0" borderId="9" xfId="0" applyFont="1" applyBorder="1" applyAlignment="1">
      <alignment horizontal="left" vertical="center" wrapText="1"/>
    </xf>
    <xf numFmtId="10" fontId="0" fillId="0" borderId="9" xfId="0" applyNumberFormat="1" applyBorder="1" applyAlignment="1">
      <alignment horizontal="center" vertical="center" wrapText="1"/>
    </xf>
    <xf numFmtId="9" fontId="7" fillId="0" borderId="4" xfId="2" applyFont="1" applyFill="1" applyBorder="1" applyAlignment="1">
      <alignment horizontal="center" vertical="center" wrapText="1"/>
    </xf>
    <xf numFmtId="166" fontId="29" fillId="0" borderId="11" xfId="1" applyNumberFormat="1" applyFont="1" applyFill="1" applyBorder="1" applyAlignment="1">
      <alignment horizontal="center" vertical="center" wrapText="1"/>
    </xf>
    <xf numFmtId="166" fontId="29" fillId="0" borderId="12" xfId="1" applyNumberFormat="1" applyFont="1" applyFill="1" applyBorder="1" applyAlignment="1">
      <alignment horizontal="center" vertical="center" wrapText="1"/>
    </xf>
    <xf numFmtId="166" fontId="29" fillId="0" borderId="2" xfId="1" applyNumberFormat="1" applyFont="1" applyFill="1" applyBorder="1" applyAlignment="1">
      <alignment horizontal="center" vertical="center" wrapText="1"/>
    </xf>
    <xf numFmtId="166" fontId="29" fillId="0" borderId="3" xfId="1" applyNumberFormat="1" applyFont="1" applyFill="1" applyBorder="1" applyAlignment="1">
      <alignment horizontal="center" vertical="center" wrapText="1"/>
    </xf>
    <xf numFmtId="9" fontId="29" fillId="0" borderId="24" xfId="2" applyFont="1" applyFill="1" applyBorder="1" applyAlignment="1">
      <alignment horizontal="center" vertical="center" wrapText="1"/>
    </xf>
    <xf numFmtId="9" fontId="29" fillId="0" borderId="2" xfId="2" applyFont="1" applyFill="1" applyBorder="1" applyAlignment="1">
      <alignment horizontal="center" vertical="center" wrapText="1"/>
    </xf>
    <xf numFmtId="9" fontId="29" fillId="0" borderId="22" xfId="2" applyFont="1" applyFill="1" applyBorder="1" applyAlignment="1">
      <alignment horizontal="center" vertical="center" wrapText="1"/>
    </xf>
    <xf numFmtId="9" fontId="29" fillId="0" borderId="11" xfId="2" applyFont="1" applyFill="1" applyBorder="1" applyAlignment="1">
      <alignment horizontal="center" vertical="center" wrapText="1"/>
    </xf>
    <xf numFmtId="9" fontId="17" fillId="0" borderId="52" xfId="2" applyFont="1" applyFill="1" applyBorder="1" applyAlignment="1">
      <alignment horizontal="center" vertical="center" wrapText="1"/>
    </xf>
    <xf numFmtId="9" fontId="17" fillId="0" borderId="24" xfId="2" applyFont="1" applyFill="1" applyBorder="1" applyAlignment="1">
      <alignment horizontal="center" vertical="center" wrapText="1"/>
    </xf>
    <xf numFmtId="9" fontId="17" fillId="0" borderId="2" xfId="2" applyFont="1" applyFill="1" applyBorder="1" applyAlignment="1">
      <alignment horizontal="center" vertical="center" wrapText="1"/>
    </xf>
    <xf numFmtId="9" fontId="17" fillId="0" borderId="53" xfId="2" applyFont="1" applyFill="1" applyBorder="1" applyAlignment="1">
      <alignment horizontal="center" vertical="center" wrapText="1"/>
    </xf>
    <xf numFmtId="9" fontId="17" fillId="0" borderId="7" xfId="2" applyFont="1" applyFill="1" applyBorder="1" applyAlignment="1">
      <alignment horizontal="center" vertical="center" wrapText="1"/>
    </xf>
    <xf numFmtId="9" fontId="17" fillId="0" borderId="1" xfId="2" applyFont="1" applyFill="1" applyBorder="1" applyAlignment="1">
      <alignment horizontal="center" vertical="center" wrapText="1"/>
    </xf>
    <xf numFmtId="10" fontId="7" fillId="0" borderId="1" xfId="2" applyNumberFormat="1" applyFont="1" applyFill="1" applyBorder="1" applyAlignment="1">
      <alignment horizontal="center" vertical="center" wrapText="1"/>
    </xf>
    <xf numFmtId="9" fontId="17" fillId="0" borderId="2" xfId="0" applyNumberFormat="1" applyFont="1" applyBorder="1" applyAlignment="1">
      <alignment horizontal="center" vertical="center" wrapText="1"/>
    </xf>
    <xf numFmtId="9" fontId="17" fillId="0" borderId="2" xfId="0" applyNumberFormat="1" applyFont="1" applyBorder="1" applyAlignment="1">
      <alignment vertical="center" wrapText="1"/>
    </xf>
    <xf numFmtId="169" fontId="0" fillId="0" borderId="1" xfId="0" applyNumberFormat="1" applyBorder="1" applyAlignment="1">
      <alignment horizontal="center" vertical="center" wrapText="1"/>
    </xf>
    <xf numFmtId="166" fontId="7" fillId="0" borderId="24" xfId="4" applyNumberFormat="1" applyFont="1" applyFill="1" applyBorder="1" applyAlignment="1">
      <alignment horizontal="center" vertical="center" wrapText="1"/>
    </xf>
    <xf numFmtId="9" fontId="2" fillId="5" borderId="5" xfId="2" applyFont="1" applyFill="1" applyBorder="1" applyAlignment="1">
      <alignment horizontal="center" vertical="center" wrapText="1"/>
    </xf>
    <xf numFmtId="166" fontId="10" fillId="0" borderId="7" xfId="1" applyNumberFormat="1" applyFont="1" applyFill="1" applyBorder="1" applyAlignment="1">
      <alignment horizontal="center" vertical="center" wrapText="1"/>
    </xf>
    <xf numFmtId="166" fontId="10" fillId="0" borderId="1" xfId="1" applyNumberFormat="1" applyFont="1" applyFill="1" applyBorder="1" applyAlignment="1">
      <alignment horizontal="center" vertical="center" wrapText="1"/>
    </xf>
    <xf numFmtId="166" fontId="10" fillId="0" borderId="53" xfId="1" applyNumberFormat="1" applyFont="1" applyFill="1" applyBorder="1" applyAlignment="1">
      <alignment horizontal="center" vertical="center" wrapText="1"/>
    </xf>
    <xf numFmtId="166" fontId="10" fillId="8" borderId="1" xfId="1" applyNumberFormat="1" applyFont="1" applyFill="1" applyBorder="1" applyAlignment="1">
      <alignment horizontal="center" vertical="center" wrapText="1"/>
    </xf>
    <xf numFmtId="166" fontId="9" fillId="8" borderId="9" xfId="0" applyNumberFormat="1" applyFont="1" applyFill="1" applyBorder="1" applyAlignment="1">
      <alignment horizontal="center" vertical="center" wrapText="1"/>
    </xf>
    <xf numFmtId="167" fontId="10" fillId="0" borderId="7" xfId="2" applyNumberFormat="1" applyFont="1" applyFill="1" applyBorder="1" applyAlignment="1">
      <alignment horizontal="center" vertical="center" wrapText="1"/>
    </xf>
    <xf numFmtId="167" fontId="10" fillId="0" borderId="1" xfId="2" applyNumberFormat="1" applyFont="1" applyFill="1" applyBorder="1" applyAlignment="1">
      <alignment horizontal="center" vertical="center" wrapText="1"/>
    </xf>
    <xf numFmtId="167" fontId="10" fillId="0" borderId="53" xfId="2" applyNumberFormat="1" applyFont="1" applyFill="1" applyBorder="1" applyAlignment="1">
      <alignment horizontal="center" vertical="center" wrapText="1"/>
    </xf>
    <xf numFmtId="9" fontId="9" fillId="8" borderId="9" xfId="0" applyNumberFormat="1" applyFont="1" applyFill="1" applyBorder="1" applyAlignment="1">
      <alignment horizontal="center" vertical="center" wrapText="1"/>
    </xf>
    <xf numFmtId="170" fontId="10" fillId="0" borderId="22" xfId="1" applyNumberFormat="1" applyFont="1" applyFill="1" applyBorder="1" applyAlignment="1">
      <alignment horizontal="center" vertical="center" wrapText="1"/>
    </xf>
    <xf numFmtId="170" fontId="10" fillId="0" borderId="11" xfId="1" applyNumberFormat="1" applyFont="1" applyFill="1" applyBorder="1" applyAlignment="1">
      <alignment horizontal="center" vertical="center" wrapText="1"/>
    </xf>
    <xf numFmtId="43" fontId="10" fillId="0" borderId="11" xfId="1" applyNumberFormat="1" applyFont="1" applyFill="1" applyBorder="1" applyAlignment="1">
      <alignment horizontal="center" vertical="center" wrapText="1"/>
    </xf>
    <xf numFmtId="166" fontId="10" fillId="0" borderId="7" xfId="1" applyNumberFormat="1" applyFont="1" applyFill="1" applyBorder="1" applyAlignment="1">
      <alignment vertical="center" wrapText="1"/>
    </xf>
    <xf numFmtId="166" fontId="10" fillId="0" borderId="1" xfId="1" applyNumberFormat="1" applyFont="1" applyFill="1" applyBorder="1" applyAlignment="1">
      <alignment vertical="center" wrapText="1"/>
    </xf>
    <xf numFmtId="9" fontId="7" fillId="0" borderId="24" xfId="2" applyFont="1" applyFill="1" applyBorder="1" applyAlignment="1">
      <alignment horizontal="center" vertical="center" wrapText="1"/>
    </xf>
    <xf numFmtId="9" fontId="1" fillId="0" borderId="4" xfId="2" applyFont="1" applyFill="1" applyBorder="1" applyAlignment="1">
      <alignment horizontal="center" vertical="center" wrapText="1"/>
    </xf>
    <xf numFmtId="169" fontId="0" fillId="0" borderId="59" xfId="0" applyNumberFormat="1" applyBorder="1" applyAlignment="1">
      <alignment horizontal="center" vertical="center" wrapText="1"/>
    </xf>
    <xf numFmtId="169" fontId="0" fillId="0" borderId="62" xfId="0" applyNumberFormat="1" applyBorder="1" applyAlignment="1">
      <alignment horizontal="center" vertical="center" wrapText="1"/>
    </xf>
    <xf numFmtId="2" fontId="17" fillId="0" borderId="1" xfId="0" applyNumberFormat="1" applyFont="1" applyBorder="1" applyAlignment="1">
      <alignment horizontal="center" vertical="center" wrapText="1"/>
    </xf>
    <xf numFmtId="166" fontId="10" fillId="0" borderId="24" xfId="1" applyNumberFormat="1" applyFont="1" applyFill="1" applyBorder="1" applyAlignment="1">
      <alignment horizontal="center" vertical="center" wrapText="1"/>
    </xf>
    <xf numFmtId="166" fontId="10" fillId="0" borderId="2" xfId="1" applyNumberFormat="1" applyFont="1" applyFill="1" applyBorder="1" applyAlignment="1">
      <alignment horizontal="center" vertical="center" wrapText="1"/>
    </xf>
    <xf numFmtId="43" fontId="10" fillId="0" borderId="22" xfId="1" applyNumberFormat="1" applyFont="1" applyFill="1" applyBorder="1" applyAlignment="1">
      <alignment horizontal="center" vertical="center" wrapText="1"/>
    </xf>
    <xf numFmtId="166" fontId="10" fillId="0" borderId="11" xfId="1" applyNumberFormat="1" applyFont="1" applyFill="1" applyBorder="1" applyAlignment="1">
      <alignment horizontal="center" vertical="center" wrapText="1"/>
    </xf>
    <xf numFmtId="49" fontId="14" fillId="5" borderId="42" xfId="0" applyNumberFormat="1" applyFont="1" applyFill="1" applyBorder="1" applyAlignment="1">
      <alignment horizontal="center" vertical="center" wrapText="1"/>
    </xf>
    <xf numFmtId="49" fontId="32" fillId="0" borderId="36" xfId="0" applyNumberFormat="1" applyFont="1" applyBorder="1" applyAlignment="1">
      <alignment horizontal="center" vertical="center" wrapText="1"/>
    </xf>
    <xf numFmtId="0" fontId="17" fillId="0" borderId="1" xfId="0" applyFont="1" applyBorder="1" applyAlignment="1">
      <alignment horizontal="center" vertical="center" wrapText="1"/>
    </xf>
    <xf numFmtId="169" fontId="33" fillId="0" borderId="62" xfId="0" applyNumberFormat="1" applyFont="1" applyBorder="1" applyAlignment="1">
      <alignment horizontal="center" vertical="center" wrapText="1"/>
    </xf>
    <xf numFmtId="169" fontId="33"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0" fontId="0" fillId="0" borderId="12" xfId="0" applyBorder="1" applyAlignment="1">
      <alignment horizontal="center" vertical="center" wrapText="1"/>
    </xf>
    <xf numFmtId="9" fontId="7" fillId="0" borderId="76" xfId="2" applyFont="1" applyFill="1" applyBorder="1" applyAlignment="1">
      <alignment horizontal="center" vertical="center" wrapText="1"/>
    </xf>
    <xf numFmtId="10" fontId="7" fillId="0" borderId="78" xfId="2" applyNumberFormat="1" applyFont="1" applyFill="1" applyBorder="1" applyAlignment="1">
      <alignment horizontal="center" vertical="center" wrapText="1"/>
    </xf>
    <xf numFmtId="166" fontId="29" fillId="0" borderId="78" xfId="1" applyNumberFormat="1" applyFont="1" applyFill="1" applyBorder="1" applyAlignment="1">
      <alignment horizontal="center" vertical="center" wrapText="1"/>
    </xf>
    <xf numFmtId="166" fontId="29" fillId="0" borderId="80" xfId="1" applyNumberFormat="1" applyFont="1" applyFill="1" applyBorder="1" applyAlignment="1">
      <alignment horizontal="center" vertical="center" wrapText="1"/>
    </xf>
    <xf numFmtId="9" fontId="17" fillId="0" borderId="76" xfId="0" applyNumberFormat="1" applyFont="1" applyBorder="1" applyAlignment="1">
      <alignment vertical="center" wrapText="1"/>
    </xf>
    <xf numFmtId="9" fontId="29" fillId="0" borderId="76" xfId="2" applyFont="1" applyFill="1" applyBorder="1" applyAlignment="1">
      <alignment horizontal="center" vertical="center" wrapText="1"/>
    </xf>
    <xf numFmtId="9" fontId="29" fillId="0" borderId="80" xfId="2" applyFont="1" applyFill="1" applyBorder="1" applyAlignment="1">
      <alignment horizontal="center" vertical="center" wrapText="1"/>
    </xf>
    <xf numFmtId="0" fontId="2" fillId="0" borderId="84" xfId="0" applyFont="1" applyBorder="1" applyAlignment="1">
      <alignment horizontal="center" vertical="center" wrapText="1"/>
    </xf>
    <xf numFmtId="0" fontId="0" fillId="0" borderId="76" xfId="0" applyBorder="1" applyAlignment="1">
      <alignment vertical="center" wrapText="1"/>
    </xf>
    <xf numFmtId="0" fontId="0" fillId="0" borderId="80" xfId="0" applyBorder="1" applyAlignment="1">
      <alignment vertical="center" wrapText="1"/>
    </xf>
    <xf numFmtId="0" fontId="0" fillId="0" borderId="90" xfId="0" applyBorder="1" applyAlignment="1">
      <alignment vertical="center" wrapText="1"/>
    </xf>
    <xf numFmtId="1" fontId="2" fillId="5" borderId="90" xfId="0" applyNumberFormat="1" applyFont="1" applyFill="1" applyBorder="1" applyAlignment="1">
      <alignment horizontal="center" vertical="center" wrapText="1"/>
    </xf>
    <xf numFmtId="49" fontId="2" fillId="5" borderId="90" xfId="0" applyNumberFormat="1" applyFont="1" applyFill="1" applyBorder="1" applyAlignment="1">
      <alignment horizontal="center" vertical="center" wrapText="1"/>
    </xf>
    <xf numFmtId="0" fontId="2" fillId="2" borderId="95" xfId="0" applyFont="1" applyFill="1" applyBorder="1" applyAlignment="1">
      <alignment horizontal="center" vertical="center" wrapText="1"/>
    </xf>
    <xf numFmtId="0" fontId="2" fillId="2" borderId="96" xfId="0" applyFont="1" applyFill="1" applyBorder="1" applyAlignment="1">
      <alignment horizontal="center" vertical="center" wrapText="1"/>
    </xf>
    <xf numFmtId="0" fontId="2" fillId="2" borderId="97" xfId="0" applyFont="1" applyFill="1" applyBorder="1" applyAlignment="1">
      <alignment horizontal="center" vertical="center" wrapText="1"/>
    </xf>
    <xf numFmtId="0" fontId="2" fillId="2" borderId="98" xfId="0" applyFont="1" applyFill="1" applyBorder="1" applyAlignment="1">
      <alignment horizontal="center" vertical="center" wrapText="1"/>
    </xf>
    <xf numFmtId="0" fontId="2" fillId="4" borderId="99" xfId="0" applyFont="1" applyFill="1" applyBorder="1" applyAlignment="1">
      <alignment horizontal="center" vertical="center" wrapText="1"/>
    </xf>
    <xf numFmtId="0" fontId="2" fillId="4" borderId="96" xfId="0" applyFont="1" applyFill="1" applyBorder="1" applyAlignment="1">
      <alignment horizontal="center" vertical="center" wrapText="1"/>
    </xf>
    <xf numFmtId="0" fontId="2" fillId="4" borderId="100" xfId="0" applyFont="1" applyFill="1" applyBorder="1" applyAlignment="1">
      <alignment horizontal="center" vertical="center" wrapText="1"/>
    </xf>
    <xf numFmtId="9" fontId="0" fillId="0" borderId="2" xfId="2" applyFont="1" applyFill="1" applyBorder="1" applyAlignment="1">
      <alignment horizontal="center" vertical="center" wrapText="1"/>
    </xf>
    <xf numFmtId="9" fontId="0" fillId="0" borderId="76" xfId="2" applyFont="1" applyFill="1" applyBorder="1" applyAlignment="1">
      <alignment horizontal="center" vertical="center" wrapText="1"/>
    </xf>
    <xf numFmtId="9" fontId="29" fillId="8" borderId="2" xfId="2" applyFont="1" applyFill="1" applyBorder="1" applyAlignment="1">
      <alignment horizontal="center" vertical="center" wrapText="1"/>
    </xf>
    <xf numFmtId="9" fontId="29" fillId="8" borderId="1" xfId="2" applyFont="1" applyFill="1" applyBorder="1" applyAlignment="1">
      <alignment horizontal="center" vertical="center" wrapText="1"/>
    </xf>
    <xf numFmtId="9" fontId="29" fillId="8" borderId="11" xfId="2" applyFont="1" applyFill="1" applyBorder="1" applyAlignment="1">
      <alignment horizontal="center" vertical="center" wrapText="1"/>
    </xf>
    <xf numFmtId="166" fontId="29" fillId="8" borderId="76" xfId="1" applyNumberFormat="1" applyFont="1" applyFill="1" applyBorder="1" applyAlignment="1">
      <alignment horizontal="center" vertical="center" wrapText="1"/>
    </xf>
    <xf numFmtId="166" fontId="29" fillId="8" borderId="80" xfId="1" applyNumberFormat="1" applyFont="1" applyFill="1" applyBorder="1" applyAlignment="1">
      <alignment horizontal="center" vertical="center" wrapText="1"/>
    </xf>
    <xf numFmtId="0" fontId="0" fillId="8" borderId="11" xfId="0" applyFill="1" applyBorder="1" applyAlignment="1">
      <alignment horizontal="center" vertical="center" wrapText="1"/>
    </xf>
    <xf numFmtId="0" fontId="0" fillId="8" borderId="2" xfId="0" applyFill="1" applyBorder="1" applyAlignment="1">
      <alignment vertical="center" wrapText="1"/>
    </xf>
    <xf numFmtId="0" fontId="0" fillId="8" borderId="11" xfId="0" applyFill="1" applyBorder="1" applyAlignment="1">
      <alignment vertical="center" wrapText="1"/>
    </xf>
    <xf numFmtId="10" fontId="0" fillId="8" borderId="1" xfId="0" applyNumberFormat="1" applyFill="1" applyBorder="1" applyAlignment="1">
      <alignment horizontal="center" vertical="center" wrapText="1"/>
    </xf>
    <xf numFmtId="10" fontId="0" fillId="8" borderId="78" xfId="0" applyNumberFormat="1" applyFill="1" applyBorder="1" applyAlignment="1">
      <alignment horizontal="center" vertical="center" wrapText="1"/>
    </xf>
    <xf numFmtId="9" fontId="0" fillId="0" borderId="1" xfId="0" applyNumberFormat="1" applyBorder="1" applyAlignment="1">
      <alignment horizontal="center" vertical="center" wrapText="1"/>
    </xf>
    <xf numFmtId="0" fontId="0" fillId="0" borderId="3" xfId="0" applyBorder="1" applyAlignment="1">
      <alignment horizontal="center" vertical="center" wrapText="1"/>
    </xf>
    <xf numFmtId="9" fontId="17" fillId="0" borderId="24" xfId="0" applyNumberFormat="1" applyFont="1" applyBorder="1" applyAlignment="1">
      <alignment horizontal="center" vertical="center" wrapText="1"/>
    </xf>
    <xf numFmtId="0" fontId="0" fillId="0" borderId="76" xfId="0" applyBorder="1" applyAlignment="1">
      <alignment horizontal="center" vertical="center" wrapText="1"/>
    </xf>
    <xf numFmtId="9" fontId="7" fillId="0" borderId="11" xfId="2" applyFont="1" applyFill="1" applyBorder="1" applyAlignment="1">
      <alignment horizontal="center" vertical="center" wrapText="1"/>
    </xf>
    <xf numFmtId="9" fontId="7" fillId="0" borderId="80" xfId="2" applyFont="1" applyFill="1" applyBorder="1" applyAlignment="1">
      <alignment horizontal="center" vertical="center" wrapText="1"/>
    </xf>
    <xf numFmtId="0" fontId="0" fillId="0" borderId="78" xfId="0" applyBorder="1" applyAlignment="1">
      <alignment horizontal="center" vertical="center" wrapText="1"/>
    </xf>
    <xf numFmtId="9" fontId="29" fillId="0" borderId="7" xfId="2" applyFont="1" applyFill="1" applyBorder="1" applyAlignment="1">
      <alignment horizontal="center" vertical="center" wrapText="1"/>
    </xf>
    <xf numFmtId="9" fontId="29" fillId="0" borderId="1" xfId="2" applyFont="1" applyFill="1" applyBorder="1" applyAlignment="1">
      <alignment horizontal="center" vertical="center" wrapText="1"/>
    </xf>
    <xf numFmtId="9" fontId="29" fillId="0" borderId="78" xfId="2" applyFont="1" applyFill="1" applyBorder="1" applyAlignment="1">
      <alignment horizontal="center" vertical="center" wrapText="1"/>
    </xf>
    <xf numFmtId="0" fontId="29" fillId="0" borderId="1" xfId="0" applyFont="1" applyBorder="1" applyAlignment="1">
      <alignment horizontal="center" vertical="center" wrapText="1"/>
    </xf>
    <xf numFmtId="0" fontId="29" fillId="0" borderId="78" xfId="0" applyFont="1" applyBorder="1" applyAlignment="1">
      <alignment horizontal="center" vertical="center" wrapText="1"/>
    </xf>
    <xf numFmtId="49" fontId="2" fillId="5" borderId="27" xfId="0" applyNumberFormat="1" applyFont="1" applyFill="1" applyBorder="1" applyAlignment="1">
      <alignment horizontal="center" vertical="center" wrapText="1"/>
    </xf>
    <xf numFmtId="0" fontId="0" fillId="0" borderId="33" xfId="0" applyBorder="1" applyAlignment="1">
      <alignment horizontal="center" vertical="center" wrapText="1"/>
    </xf>
    <xf numFmtId="0" fontId="0" fillId="0" borderId="36" xfId="0" applyBorder="1" applyAlignment="1">
      <alignment horizontal="center" vertical="center" wrapText="1"/>
    </xf>
    <xf numFmtId="0" fontId="0" fillId="0" borderId="30" xfId="0" applyBorder="1" applyAlignment="1">
      <alignment horizontal="center" vertical="center" wrapText="1"/>
    </xf>
    <xf numFmtId="0" fontId="17" fillId="0" borderId="30" xfId="0" applyFont="1" applyBorder="1" applyAlignment="1">
      <alignment horizontal="center" vertical="center" wrapText="1"/>
    </xf>
    <xf numFmtId="0" fontId="0" fillId="0" borderId="33" xfId="0" applyBorder="1" applyAlignment="1">
      <alignment horizontal="left" vertical="top"/>
    </xf>
    <xf numFmtId="0" fontId="0" fillId="0" borderId="19" xfId="0" applyBorder="1" applyAlignment="1">
      <alignment horizontal="center" vertical="center" wrapText="1"/>
    </xf>
    <xf numFmtId="0" fontId="0" fillId="8" borderId="36" xfId="0" applyFill="1" applyBorder="1" applyAlignment="1">
      <alignment horizontal="center" vertical="center" wrapText="1"/>
    </xf>
    <xf numFmtId="0" fontId="0" fillId="0" borderId="33" xfId="0" applyBorder="1" applyAlignment="1">
      <alignment horizontal="left" vertical="center" wrapText="1"/>
    </xf>
    <xf numFmtId="49" fontId="2" fillId="0" borderId="109" xfId="0" applyNumberFormat="1" applyFont="1" applyBorder="1" applyAlignment="1">
      <alignment horizontal="center" vertical="center" wrapText="1"/>
    </xf>
    <xf numFmtId="49" fontId="2" fillId="0" borderId="110" xfId="0" applyNumberFormat="1" applyFont="1" applyBorder="1" applyAlignment="1">
      <alignment horizontal="center" vertical="center" wrapText="1"/>
    </xf>
    <xf numFmtId="0" fontId="0" fillId="0" borderId="77" xfId="0" applyBorder="1" applyAlignment="1">
      <alignment horizontal="center" vertical="center" wrapText="1"/>
    </xf>
    <xf numFmtId="0" fontId="0" fillId="0" borderId="79" xfId="0" applyBorder="1" applyAlignment="1">
      <alignment horizontal="center" vertical="center" wrapText="1"/>
    </xf>
    <xf numFmtId="0" fontId="0" fillId="0" borderId="75" xfId="0" applyBorder="1" applyAlignment="1">
      <alignment horizontal="center" vertical="center" wrapText="1"/>
    </xf>
    <xf numFmtId="0" fontId="17" fillId="0" borderId="77" xfId="0" applyFont="1" applyBorder="1" applyAlignment="1">
      <alignment horizontal="center" vertical="center" wrapText="1"/>
    </xf>
    <xf numFmtId="0" fontId="0" fillId="0" borderId="113" xfId="0" applyBorder="1" applyAlignment="1">
      <alignment horizontal="center" vertical="center" wrapText="1"/>
    </xf>
    <xf numFmtId="0" fontId="17" fillId="0" borderId="75" xfId="0" applyFont="1" applyBorder="1" applyAlignment="1">
      <alignment horizontal="center" vertical="center" wrapText="1"/>
    </xf>
    <xf numFmtId="49" fontId="17" fillId="0" borderId="75" xfId="0" applyNumberFormat="1" applyFont="1" applyBorder="1" applyAlignment="1">
      <alignment horizontal="left" vertical="center" wrapText="1"/>
    </xf>
    <xf numFmtId="49" fontId="17" fillId="0" borderId="77" xfId="0" applyNumberFormat="1" applyFont="1" applyBorder="1" applyAlignment="1">
      <alignment horizontal="left" vertical="center" wrapText="1"/>
    </xf>
    <xf numFmtId="49" fontId="17" fillId="0" borderId="79" xfId="0" applyNumberFormat="1" applyFont="1" applyBorder="1" applyAlignment="1">
      <alignment horizontal="left" vertical="center" wrapText="1"/>
    </xf>
    <xf numFmtId="0" fontId="0" fillId="0" borderId="84" xfId="0" applyBorder="1" applyAlignment="1">
      <alignment horizontal="center" vertical="center" wrapText="1"/>
    </xf>
    <xf numFmtId="0" fontId="0" fillId="0" borderId="77" xfId="0" applyBorder="1" applyAlignment="1">
      <alignment vertical="center" wrapText="1"/>
    </xf>
    <xf numFmtId="0" fontId="0" fillId="0" borderId="94" xfId="0" applyBorder="1" applyAlignment="1">
      <alignment horizontal="right" vertical="center" wrapText="1" indent="2"/>
    </xf>
    <xf numFmtId="0" fontId="0" fillId="0" borderId="77" xfId="0" applyBorder="1" applyAlignment="1">
      <alignment horizontal="right" vertical="center" wrapText="1" indent="2"/>
    </xf>
    <xf numFmtId="0" fontId="0" fillId="0" borderId="114" xfId="0" applyBorder="1" applyAlignment="1">
      <alignment vertical="center" wrapText="1"/>
    </xf>
    <xf numFmtId="9" fontId="2" fillId="5" borderId="11" xfId="0" applyNumberFormat="1" applyFont="1" applyFill="1" applyBorder="1" applyAlignment="1">
      <alignment horizontal="center" vertical="center" wrapText="1"/>
    </xf>
    <xf numFmtId="9" fontId="29" fillId="0" borderId="9" xfId="2" applyFont="1" applyFill="1" applyBorder="1" applyAlignment="1">
      <alignment horizontal="center" vertical="center" wrapText="1"/>
    </xf>
    <xf numFmtId="9" fontId="29" fillId="8" borderId="9" xfId="2" applyFont="1" applyFill="1" applyBorder="1" applyAlignment="1">
      <alignment horizontal="center" vertical="center" wrapText="1"/>
    </xf>
    <xf numFmtId="9" fontId="29" fillId="0" borderId="115" xfId="2" applyFont="1" applyFill="1" applyBorder="1" applyAlignment="1">
      <alignment horizontal="center" vertical="center" wrapText="1"/>
    </xf>
    <xf numFmtId="0" fontId="0" fillId="0" borderId="75" xfId="0" applyBorder="1" applyAlignment="1">
      <alignment vertical="center" wrapText="1"/>
    </xf>
    <xf numFmtId="9" fontId="2" fillId="5" borderId="39" xfId="0" applyNumberFormat="1" applyFont="1" applyFill="1" applyBorder="1" applyAlignment="1">
      <alignment horizontal="center" vertical="center" wrapText="1"/>
    </xf>
    <xf numFmtId="49" fontId="2" fillId="5" borderId="13" xfId="0" applyNumberFormat="1" applyFont="1" applyFill="1" applyBorder="1" applyAlignment="1">
      <alignment horizontal="center" vertical="center" wrapText="1"/>
    </xf>
    <xf numFmtId="169" fontId="33" fillId="0" borderId="33" xfId="0" applyNumberFormat="1" applyFont="1" applyBorder="1" applyAlignment="1">
      <alignment horizontal="center" vertical="center" wrapText="1"/>
    </xf>
    <xf numFmtId="10" fontId="7" fillId="8" borderId="2" xfId="2" applyNumberFormat="1" applyFont="1" applyFill="1" applyBorder="1" applyAlignment="1">
      <alignment horizontal="center" vertical="center" wrapText="1"/>
    </xf>
    <xf numFmtId="49" fontId="8" fillId="0" borderId="4" xfId="0" applyNumberFormat="1" applyFont="1" applyBorder="1" applyAlignment="1">
      <alignment horizontal="center" vertical="center" wrapText="1"/>
    </xf>
    <xf numFmtId="0" fontId="0" fillId="0" borderId="109" xfId="0" applyBorder="1" applyAlignment="1">
      <alignment horizontal="center" vertical="center" wrapText="1"/>
    </xf>
    <xf numFmtId="10" fontId="29" fillId="0" borderId="78" xfId="2" applyNumberFormat="1" applyFont="1" applyFill="1" applyBorder="1" applyAlignment="1">
      <alignment horizontal="center" vertical="center" wrapText="1"/>
    </xf>
    <xf numFmtId="9" fontId="7" fillId="8" borderId="76" xfId="2" applyFont="1" applyFill="1" applyBorder="1" applyAlignment="1">
      <alignment horizontal="center" vertical="center" wrapText="1"/>
    </xf>
    <xf numFmtId="9" fontId="0" fillId="0" borderId="1" xfId="2" applyFont="1" applyFill="1" applyBorder="1" applyAlignment="1">
      <alignment horizontal="center" vertical="center" wrapText="1"/>
    </xf>
    <xf numFmtId="9" fontId="0" fillId="0" borderId="78" xfId="2" applyFont="1" applyFill="1" applyBorder="1" applyAlignment="1">
      <alignment horizontal="center" vertical="center" wrapText="1"/>
    </xf>
    <xf numFmtId="10" fontId="0" fillId="0" borderId="78" xfId="0" applyNumberFormat="1" applyBorder="1" applyAlignment="1">
      <alignment horizontal="center" vertical="center" wrapText="1"/>
    </xf>
    <xf numFmtId="9" fontId="0" fillId="0" borderId="2" xfId="0" applyNumberFormat="1" applyBorder="1" applyAlignment="1">
      <alignment horizontal="center" vertical="center" wrapText="1"/>
    </xf>
    <xf numFmtId="9" fontId="0" fillId="0" borderId="76" xfId="0" applyNumberFormat="1" applyBorder="1" applyAlignment="1">
      <alignment horizontal="center" vertical="center" wrapText="1"/>
    </xf>
    <xf numFmtId="0" fontId="5" fillId="0" borderId="78" xfId="0" applyFont="1" applyBorder="1" applyAlignment="1">
      <alignment horizontal="left" vertical="center" wrapText="1"/>
    </xf>
    <xf numFmtId="2" fontId="0" fillId="0" borderId="78" xfId="0" applyNumberFormat="1" applyBorder="1" applyAlignment="1">
      <alignment horizontal="center" vertical="center" wrapText="1"/>
    </xf>
    <xf numFmtId="4" fontId="0" fillId="0" borderId="78" xfId="0" applyNumberFormat="1" applyBorder="1" applyAlignment="1">
      <alignment horizontal="center" vertical="center" wrapText="1"/>
    </xf>
    <xf numFmtId="10" fontId="17" fillId="0" borderId="1" xfId="0" applyNumberFormat="1" applyFont="1" applyBorder="1" applyAlignment="1">
      <alignment horizontal="center" vertical="center" wrapText="1"/>
    </xf>
    <xf numFmtId="166" fontId="10" fillId="8" borderId="4" xfId="1" applyNumberFormat="1" applyFont="1" applyFill="1" applyBorder="1" applyAlignment="1">
      <alignment horizontal="center" vertical="center" wrapText="1"/>
    </xf>
    <xf numFmtId="43" fontId="10" fillId="8" borderId="12" xfId="1" applyNumberFormat="1" applyFont="1" applyFill="1" applyBorder="1" applyAlignment="1">
      <alignment horizontal="center" vertical="center" wrapText="1"/>
    </xf>
    <xf numFmtId="0" fontId="1" fillId="0" borderId="33" xfId="0" applyFont="1" applyBorder="1" applyAlignment="1">
      <alignment horizontal="center" vertical="center" wrapText="1"/>
    </xf>
    <xf numFmtId="169" fontId="1" fillId="0" borderId="62" xfId="0" applyNumberFormat="1" applyFont="1" applyBorder="1" applyAlignment="1">
      <alignment horizontal="center" vertical="center" wrapText="1"/>
    </xf>
    <xf numFmtId="169" fontId="1" fillId="0" borderId="59"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166" fontId="10" fillId="0" borderId="22" xfId="1" applyNumberFormat="1" applyFont="1" applyFill="1" applyBorder="1" applyAlignment="1">
      <alignment horizontal="center" vertical="center" wrapText="1"/>
    </xf>
    <xf numFmtId="3" fontId="36" fillId="0" borderId="1" xfId="0" applyNumberFormat="1" applyFont="1" applyBorder="1" applyAlignment="1">
      <alignment vertical="center" wrapText="1"/>
    </xf>
    <xf numFmtId="0" fontId="36" fillId="0" borderId="7" xfId="0" applyFont="1" applyBorder="1" applyAlignment="1">
      <alignment vertical="center" wrapText="1"/>
    </xf>
    <xf numFmtId="3" fontId="36" fillId="0" borderId="7" xfId="0" applyNumberFormat="1" applyFont="1" applyBorder="1" applyAlignment="1">
      <alignment horizontal="center" vertical="center" wrapText="1"/>
    </xf>
    <xf numFmtId="3" fontId="36" fillId="0" borderId="1" xfId="0" applyNumberFormat="1" applyFont="1" applyBorder="1" applyAlignment="1">
      <alignment horizontal="center" vertical="center" wrapText="1"/>
    </xf>
    <xf numFmtId="0" fontId="0" fillId="8" borderId="77" xfId="0" applyFill="1" applyBorder="1" applyAlignment="1">
      <alignment horizontal="center" vertical="center" wrapText="1"/>
    </xf>
    <xf numFmtId="49" fontId="2" fillId="8" borderId="1" xfId="0" applyNumberFormat="1" applyFont="1" applyFill="1" applyBorder="1" applyAlignment="1">
      <alignment horizontal="center" vertical="center" wrapText="1"/>
    </xf>
    <xf numFmtId="0" fontId="0" fillId="8" borderId="79" xfId="0" applyFill="1" applyBorder="1" applyAlignment="1">
      <alignment horizontal="center" vertical="center" wrapText="1"/>
    </xf>
    <xf numFmtId="49" fontId="2" fillId="8" borderId="11" xfId="0" applyNumberFormat="1" applyFont="1" applyFill="1" applyBorder="1" applyAlignment="1">
      <alignment horizontal="center" vertical="center" wrapText="1"/>
    </xf>
    <xf numFmtId="0" fontId="0" fillId="8" borderId="75" xfId="0" applyFill="1" applyBorder="1" applyAlignment="1">
      <alignment horizontal="center" vertical="center" wrapText="1"/>
    </xf>
    <xf numFmtId="0" fontId="1" fillId="8" borderId="94" xfId="0"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1" fillId="8" borderId="79" xfId="0" applyFont="1" applyFill="1" applyBorder="1" applyAlignment="1">
      <alignment horizontal="center" vertical="center" wrapText="1"/>
    </xf>
    <xf numFmtId="49" fontId="8" fillId="8" borderId="11" xfId="0" applyNumberFormat="1" applyFont="1" applyFill="1" applyBorder="1" applyAlignment="1">
      <alignment horizontal="center" vertical="center" wrapText="1"/>
    </xf>
    <xf numFmtId="49" fontId="2" fillId="8" borderId="2" xfId="0" applyNumberFormat="1" applyFont="1" applyFill="1" applyBorder="1" applyAlignment="1">
      <alignment horizontal="center" vertical="center" wrapText="1"/>
    </xf>
    <xf numFmtId="49" fontId="2" fillId="8" borderId="3" xfId="0" applyNumberFormat="1" applyFont="1" applyFill="1" applyBorder="1" applyAlignment="1">
      <alignment horizontal="center" vertical="center" wrapText="1"/>
    </xf>
    <xf numFmtId="169" fontId="0" fillId="8" borderId="62" xfId="0" applyNumberFormat="1" applyFill="1" applyBorder="1" applyAlignment="1">
      <alignment horizontal="center" vertical="center" wrapText="1"/>
    </xf>
    <xf numFmtId="169" fontId="0" fillId="8" borderId="1" xfId="0" applyNumberFormat="1" applyFill="1" applyBorder="1" applyAlignment="1">
      <alignment horizontal="center" vertical="center" wrapText="1"/>
    </xf>
    <xf numFmtId="0" fontId="2" fillId="8" borderId="1" xfId="2" applyNumberFormat="1" applyFont="1" applyFill="1" applyBorder="1" applyAlignment="1">
      <alignment horizontal="center" vertical="center" wrapText="1"/>
    </xf>
    <xf numFmtId="9" fontId="29" fillId="8" borderId="24" xfId="2" applyFont="1" applyFill="1" applyBorder="1" applyAlignment="1">
      <alignment horizontal="center" vertical="center" wrapText="1"/>
    </xf>
    <xf numFmtId="9" fontId="29" fillId="8" borderId="7" xfId="2" applyFont="1" applyFill="1" applyBorder="1" applyAlignment="1">
      <alignment horizontal="center" vertical="center" wrapText="1"/>
    </xf>
    <xf numFmtId="9" fontId="29" fillId="8" borderId="22" xfId="2" applyFont="1" applyFill="1" applyBorder="1" applyAlignment="1">
      <alignment horizontal="center" vertical="center" wrapText="1"/>
    </xf>
    <xf numFmtId="10" fontId="0" fillId="8" borderId="2" xfId="0" applyNumberFormat="1" applyFill="1" applyBorder="1" applyAlignment="1">
      <alignment horizontal="center" vertical="center" wrapText="1"/>
    </xf>
    <xf numFmtId="0" fontId="0" fillId="7" borderId="11" xfId="0" applyFill="1" applyBorder="1" applyAlignment="1">
      <alignment horizontal="center" vertical="center" wrapText="1"/>
    </xf>
    <xf numFmtId="9" fontId="7" fillId="8" borderId="78" xfId="2" applyFont="1" applyFill="1" applyBorder="1" applyAlignment="1">
      <alignment horizontal="center" vertical="center" wrapText="1"/>
    </xf>
    <xf numFmtId="49" fontId="32" fillId="5" borderId="11" xfId="0" applyNumberFormat="1" applyFont="1" applyFill="1" applyBorder="1" applyAlignment="1">
      <alignment horizontal="center" vertical="center" wrapText="1"/>
    </xf>
    <xf numFmtId="10" fontId="37" fillId="0" borderId="7" xfId="0" applyNumberFormat="1" applyFont="1" applyBorder="1" applyAlignment="1">
      <alignment vertical="center" wrapText="1"/>
    </xf>
    <xf numFmtId="10" fontId="37" fillId="0" borderId="1" xfId="0" applyNumberFormat="1" applyFont="1" applyBorder="1" applyAlignment="1">
      <alignment vertical="center" wrapText="1"/>
    </xf>
    <xf numFmtId="0" fontId="38" fillId="0" borderId="78" xfId="0" applyFont="1" applyBorder="1" applyAlignment="1">
      <alignment horizontal="center" vertical="center" wrapText="1"/>
    </xf>
    <xf numFmtId="167" fontId="37" fillId="0" borderId="7" xfId="2" applyNumberFormat="1" applyFont="1" applyFill="1" applyBorder="1" applyAlignment="1">
      <alignment vertical="center" wrapText="1"/>
    </xf>
    <xf numFmtId="167" fontId="37" fillId="0" borderId="1" xfId="2" applyNumberFormat="1" applyFont="1" applyFill="1" applyBorder="1" applyAlignment="1">
      <alignment vertical="center" wrapText="1"/>
    </xf>
    <xf numFmtId="167" fontId="37" fillId="0" borderId="1" xfId="2" applyNumberFormat="1" applyFont="1" applyFill="1" applyBorder="1" applyAlignment="1">
      <alignment horizontal="center" vertical="center" wrapText="1"/>
    </xf>
    <xf numFmtId="9" fontId="38" fillId="0" borderId="1" xfId="2" applyFont="1" applyBorder="1" applyAlignment="1">
      <alignment horizontal="center" vertical="center" wrapText="1"/>
    </xf>
    <xf numFmtId="9" fontId="38" fillId="0" borderId="78" xfId="2" applyFont="1" applyBorder="1" applyAlignment="1">
      <alignment horizontal="center" vertical="center" wrapText="1"/>
    </xf>
    <xf numFmtId="165" fontId="31" fillId="8" borderId="54" xfId="1" applyFont="1" applyFill="1" applyBorder="1" applyAlignment="1">
      <alignment vertical="center"/>
    </xf>
    <xf numFmtId="165" fontId="31" fillId="8" borderId="11" xfId="1" applyFont="1" applyFill="1" applyBorder="1" applyAlignment="1">
      <alignment vertical="center"/>
    </xf>
    <xf numFmtId="166" fontId="38" fillId="8" borderId="76" xfId="1" applyNumberFormat="1" applyFont="1" applyFill="1" applyBorder="1" applyAlignment="1">
      <alignment horizontal="center" vertical="center" wrapText="1"/>
    </xf>
    <xf numFmtId="166" fontId="38" fillId="8" borderId="80" xfId="1" applyNumberFormat="1" applyFont="1" applyFill="1" applyBorder="1" applyAlignment="1">
      <alignment horizontal="center" vertical="center" wrapText="1"/>
    </xf>
    <xf numFmtId="9" fontId="38" fillId="0" borderId="7" xfId="2" applyFont="1" applyFill="1" applyBorder="1" applyAlignment="1">
      <alignment horizontal="center" vertical="center" wrapText="1"/>
    </xf>
    <xf numFmtId="9" fontId="38" fillId="0" borderId="1" xfId="2" applyFont="1" applyFill="1" applyBorder="1" applyAlignment="1">
      <alignment horizontal="center" vertical="center" wrapText="1"/>
    </xf>
    <xf numFmtId="9" fontId="38" fillId="8" borderId="1" xfId="2" applyFont="1" applyFill="1" applyBorder="1" applyAlignment="1">
      <alignment horizontal="center" vertical="center" wrapText="1"/>
    </xf>
    <xf numFmtId="9" fontId="19" fillId="0" borderId="0" xfId="2" applyFont="1" applyAlignment="1">
      <alignment vertical="center" wrapText="1"/>
    </xf>
    <xf numFmtId="9" fontId="5" fillId="0" borderId="0" xfId="2" applyFont="1" applyAlignment="1">
      <alignment vertical="center" wrapText="1"/>
    </xf>
    <xf numFmtId="0" fontId="0" fillId="0" borderId="120" xfId="0" applyBorder="1" applyAlignment="1">
      <alignment vertical="top" wrapText="1"/>
    </xf>
    <xf numFmtId="167" fontId="5" fillId="0" borderId="0" xfId="2" applyNumberFormat="1" applyFont="1" applyFill="1" applyBorder="1" applyAlignment="1">
      <alignment horizontal="center" vertical="center" wrapText="1"/>
    </xf>
    <xf numFmtId="9" fontId="5" fillId="0" borderId="0" xfId="0" applyNumberFormat="1" applyFont="1" applyAlignment="1">
      <alignment horizontal="center" vertical="center" wrapText="1"/>
    </xf>
    <xf numFmtId="0" fontId="0" fillId="0" borderId="120" xfId="0" applyBorder="1" applyAlignment="1">
      <alignment horizontal="left" wrapText="1"/>
    </xf>
    <xf numFmtId="49" fontId="2" fillId="9" borderId="2" xfId="0" applyNumberFormat="1" applyFont="1" applyFill="1" applyBorder="1" applyAlignment="1">
      <alignment horizontal="center" vertical="center" wrapText="1"/>
    </xf>
    <xf numFmtId="49" fontId="2" fillId="9" borderId="1" xfId="0" applyNumberFormat="1" applyFont="1" applyFill="1" applyBorder="1" applyAlignment="1">
      <alignment horizontal="center" vertical="center" wrapText="1"/>
    </xf>
    <xf numFmtId="49" fontId="2" fillId="9" borderId="11" xfId="0" applyNumberFormat="1" applyFont="1" applyFill="1" applyBorder="1" applyAlignment="1">
      <alignment horizontal="center" vertical="center" wrapText="1"/>
    </xf>
    <xf numFmtId="10" fontId="1" fillId="8" borderId="2" xfId="2" applyNumberFormat="1" applyFont="1" applyFill="1" applyBorder="1" applyAlignment="1">
      <alignment horizontal="center" vertical="center" wrapText="1"/>
    </xf>
    <xf numFmtId="10" fontId="1" fillId="8" borderId="76" xfId="2" applyNumberFormat="1" applyFont="1" applyFill="1" applyBorder="1" applyAlignment="1">
      <alignment horizontal="center" vertical="center" wrapText="1"/>
    </xf>
    <xf numFmtId="0" fontId="1" fillId="0" borderId="11" xfId="0" applyFont="1" applyBorder="1" applyAlignment="1">
      <alignment horizontal="center" vertical="center" wrapText="1"/>
    </xf>
    <xf numFmtId="166" fontId="1" fillId="0" borderId="24" xfId="4" applyNumberFormat="1" applyFont="1" applyFill="1" applyBorder="1" applyAlignment="1">
      <alignment horizontal="center" vertical="center" wrapText="1"/>
    </xf>
    <xf numFmtId="0" fontId="1" fillId="0" borderId="2" xfId="0" applyFont="1" applyBorder="1" applyAlignment="1">
      <alignment horizontal="center" vertical="center" wrapText="1"/>
    </xf>
    <xf numFmtId="168" fontId="1" fillId="0" borderId="2" xfId="1" applyNumberFormat="1"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0" borderId="76" xfId="0" applyFont="1" applyBorder="1" applyAlignment="1">
      <alignment horizontal="center" vertical="center" wrapText="1"/>
    </xf>
    <xf numFmtId="166" fontId="19" fillId="0" borderId="0" xfId="0" applyNumberFormat="1" applyFont="1" applyAlignment="1">
      <alignment vertical="center" wrapText="1"/>
    </xf>
    <xf numFmtId="9" fontId="38" fillId="8" borderId="7" xfId="2" applyFont="1" applyFill="1" applyBorder="1" applyAlignment="1">
      <alignment horizontal="center" vertical="center" wrapText="1"/>
    </xf>
    <xf numFmtId="1" fontId="38" fillId="8" borderId="7" xfId="2" applyNumberFormat="1" applyFont="1" applyFill="1" applyBorder="1" applyAlignment="1">
      <alignment horizontal="center" vertical="center" wrapText="1"/>
    </xf>
    <xf numFmtId="1" fontId="38" fillId="8" borderId="1" xfId="2" applyNumberFormat="1" applyFont="1" applyFill="1" applyBorder="1" applyAlignment="1">
      <alignment horizontal="center" vertical="center" wrapText="1"/>
    </xf>
    <xf numFmtId="1" fontId="38" fillId="8" borderId="13" xfId="2" applyNumberFormat="1" applyFont="1" applyFill="1" applyBorder="1" applyAlignment="1">
      <alignment horizontal="center" vertical="center" wrapText="1"/>
    </xf>
    <xf numFmtId="1" fontId="38" fillId="8" borderId="9" xfId="2" applyNumberFormat="1" applyFont="1" applyFill="1" applyBorder="1" applyAlignment="1">
      <alignment horizontal="center" vertical="center" wrapText="1"/>
    </xf>
    <xf numFmtId="10" fontId="7" fillId="0" borderId="24" xfId="2" applyNumberFormat="1" applyFont="1" applyFill="1" applyBorder="1" applyAlignment="1">
      <alignment horizontal="center" vertical="center" wrapText="1"/>
    </xf>
    <xf numFmtId="10" fontId="0" fillId="0" borderId="2" xfId="2" applyNumberFormat="1" applyFont="1" applyBorder="1" applyAlignment="1">
      <alignment horizontal="center" vertical="center" wrapText="1"/>
    </xf>
    <xf numFmtId="3" fontId="36" fillId="8" borderId="7" xfId="0" applyNumberFormat="1" applyFont="1" applyFill="1" applyBorder="1" applyAlignment="1">
      <alignment horizontal="center" vertical="center" wrapText="1"/>
    </xf>
    <xf numFmtId="3" fontId="36" fillId="8" borderId="1" xfId="0" applyNumberFormat="1" applyFont="1" applyFill="1" applyBorder="1" applyAlignment="1">
      <alignment horizontal="center" vertical="center" wrapText="1"/>
    </xf>
    <xf numFmtId="0" fontId="0" fillId="0" borderId="121" xfId="0" applyBorder="1" applyAlignment="1">
      <alignment vertical="center"/>
    </xf>
    <xf numFmtId="0" fontId="0" fillId="0" borderId="124" xfId="0" applyBorder="1" applyAlignment="1">
      <alignment horizontal="center" vertical="center" wrapText="1"/>
    </xf>
    <xf numFmtId="0" fontId="0" fillId="0" borderId="108" xfId="0" applyBorder="1" applyAlignment="1">
      <alignment horizontal="center" vertical="center" wrapText="1"/>
    </xf>
    <xf numFmtId="10" fontId="0" fillId="0" borderId="0" xfId="2"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right"/>
    </xf>
    <xf numFmtId="9" fontId="17" fillId="0" borderId="22" xfId="2" applyFont="1" applyFill="1" applyBorder="1" applyAlignment="1">
      <alignment horizontal="center" vertical="center" wrapText="1"/>
    </xf>
    <xf numFmtId="166" fontId="10" fillId="8" borderId="2" xfId="1" applyNumberFormat="1" applyFont="1" applyFill="1" applyBorder="1" applyAlignment="1">
      <alignment horizontal="center" vertical="center" wrapText="1"/>
    </xf>
    <xf numFmtId="166" fontId="10" fillId="8" borderId="11" xfId="1" applyNumberFormat="1" applyFont="1" applyFill="1" applyBorder="1" applyAlignment="1">
      <alignment horizontal="center" vertical="center" wrapText="1"/>
    </xf>
    <xf numFmtId="9" fontId="0" fillId="8" borderId="2" xfId="0" applyNumberFormat="1" applyFill="1" applyBorder="1" applyAlignment="1">
      <alignment horizontal="center" vertical="center" wrapText="1"/>
    </xf>
    <xf numFmtId="10" fontId="17" fillId="0" borderId="1" xfId="2" applyNumberFormat="1" applyFont="1" applyFill="1" applyBorder="1" applyAlignment="1">
      <alignment horizontal="center" vertical="center" wrapText="1"/>
    </xf>
    <xf numFmtId="9" fontId="17" fillId="8" borderId="2" xfId="0" applyNumberFormat="1" applyFont="1" applyFill="1" applyBorder="1" applyAlignment="1">
      <alignment horizontal="center" vertical="center" wrapText="1"/>
    </xf>
    <xf numFmtId="9" fontId="7" fillId="8" borderId="11" xfId="2" applyFont="1" applyFill="1" applyBorder="1" applyAlignment="1">
      <alignment horizontal="center" vertical="center" wrapText="1"/>
    </xf>
    <xf numFmtId="10" fontId="0" fillId="8" borderId="1" xfId="2" applyNumberFormat="1" applyFont="1" applyFill="1" applyBorder="1" applyAlignment="1">
      <alignment horizontal="center" vertical="center" wrapText="1"/>
    </xf>
    <xf numFmtId="10" fontId="0" fillId="8" borderId="78" xfId="2" applyNumberFormat="1" applyFont="1" applyFill="1" applyBorder="1" applyAlignment="1">
      <alignment horizontal="center" vertical="center" wrapText="1"/>
    </xf>
    <xf numFmtId="9" fontId="0" fillId="0" borderId="1" xfId="2" applyFont="1" applyBorder="1" applyAlignment="1">
      <alignment horizontal="center" vertical="center" wrapText="1"/>
    </xf>
    <xf numFmtId="9" fontId="0" fillId="8" borderId="5" xfId="2" applyFont="1" applyFill="1" applyBorder="1" applyAlignment="1">
      <alignment horizontal="left" vertical="center" wrapText="1"/>
    </xf>
    <xf numFmtId="9" fontId="0" fillId="8" borderId="88" xfId="2" applyFont="1" applyFill="1" applyBorder="1" applyAlignment="1">
      <alignment horizontal="left" vertical="center" wrapText="1"/>
    </xf>
    <xf numFmtId="9" fontId="0" fillId="8" borderId="1" xfId="2" applyFont="1" applyFill="1" applyBorder="1" applyAlignment="1">
      <alignment horizontal="left" vertical="center" wrapText="1"/>
    </xf>
    <xf numFmtId="9" fontId="0" fillId="8" borderId="78" xfId="2" applyFont="1" applyFill="1" applyBorder="1" applyAlignment="1">
      <alignment horizontal="left" vertical="center" wrapText="1"/>
    </xf>
    <xf numFmtId="10" fontId="0" fillId="0" borderId="76" xfId="0" applyNumberFormat="1" applyBorder="1" applyAlignment="1">
      <alignment horizontal="center" vertical="center" wrapText="1"/>
    </xf>
    <xf numFmtId="0" fontId="0" fillId="0" borderId="80" xfId="0" applyBorder="1" applyAlignment="1">
      <alignment horizontal="center" vertical="center" wrapText="1"/>
    </xf>
    <xf numFmtId="169" fontId="0" fillId="8" borderId="23" xfId="0" applyNumberFormat="1" applyFill="1" applyBorder="1" applyAlignment="1">
      <alignment horizontal="center" vertical="center" wrapText="1"/>
    </xf>
    <xf numFmtId="169" fontId="0" fillId="8" borderId="53" xfId="0" applyNumberFormat="1" applyFill="1" applyBorder="1" applyAlignment="1">
      <alignment horizontal="center" vertical="center" wrapText="1"/>
    </xf>
    <xf numFmtId="169" fontId="33" fillId="0" borderId="119" xfId="0" applyNumberFormat="1" applyFont="1" applyBorder="1" applyAlignment="1">
      <alignment horizontal="center" vertical="center" wrapText="1"/>
    </xf>
    <xf numFmtId="169" fontId="33" fillId="0" borderId="78" xfId="0" applyNumberFormat="1" applyFont="1" applyBorder="1" applyAlignment="1">
      <alignment horizontal="center" vertical="center" wrapText="1"/>
    </xf>
    <xf numFmtId="1" fontId="38" fillId="8" borderId="78" xfId="2" applyNumberFormat="1" applyFont="1" applyFill="1" applyBorder="1" applyAlignment="1">
      <alignment horizontal="center" vertical="center" wrapText="1"/>
    </xf>
    <xf numFmtId="1" fontId="38" fillId="8" borderId="115" xfId="2" applyNumberFormat="1" applyFont="1" applyFill="1" applyBorder="1" applyAlignment="1">
      <alignment horizontal="center" vertical="center" wrapText="1"/>
    </xf>
    <xf numFmtId="167" fontId="7" fillId="8" borderId="32" xfId="2" applyNumberFormat="1" applyFont="1" applyFill="1" applyBorder="1" applyAlignment="1">
      <alignment vertical="center" wrapText="1"/>
    </xf>
    <xf numFmtId="167" fontId="7" fillId="8" borderId="82" xfId="2" applyNumberFormat="1" applyFont="1" applyFill="1" applyBorder="1" applyAlignment="1">
      <alignment vertical="center" wrapText="1"/>
    </xf>
    <xf numFmtId="4" fontId="17" fillId="0" borderId="64" xfId="1" applyNumberFormat="1" applyFont="1" applyFill="1" applyBorder="1" applyAlignment="1">
      <alignment horizontal="center" vertical="center" wrapText="1"/>
    </xf>
    <xf numFmtId="4" fontId="17" fillId="0" borderId="38" xfId="1" applyNumberFormat="1" applyFont="1" applyFill="1" applyBorder="1" applyAlignment="1">
      <alignment horizontal="center" vertical="center" wrapText="1"/>
    </xf>
    <xf numFmtId="4" fontId="17" fillId="8" borderId="64" xfId="1" applyNumberFormat="1" applyFont="1" applyFill="1" applyBorder="1" applyAlignment="1">
      <alignment horizontal="center" vertical="center" wrapText="1"/>
    </xf>
    <xf numFmtId="4" fontId="17" fillId="8" borderId="38" xfId="1" applyNumberFormat="1" applyFont="1" applyFill="1" applyBorder="1" applyAlignment="1">
      <alignment horizontal="center" vertical="center" wrapText="1"/>
    </xf>
    <xf numFmtId="4" fontId="17" fillId="0" borderId="125" xfId="1" applyNumberFormat="1" applyFont="1" applyFill="1" applyBorder="1" applyAlignment="1">
      <alignment horizontal="center" vertical="center" wrapText="1"/>
    </xf>
    <xf numFmtId="0" fontId="1" fillId="8" borderId="118" xfId="0" applyFont="1" applyFill="1" applyBorder="1" applyAlignment="1">
      <alignment vertical="center" wrapText="1"/>
    </xf>
    <xf numFmtId="9" fontId="38" fillId="0" borderId="78" xfId="2" applyFont="1" applyFill="1" applyBorder="1" applyAlignment="1">
      <alignment horizontal="center" vertical="center" wrapText="1"/>
    </xf>
    <xf numFmtId="10" fontId="1" fillId="0" borderId="2" xfId="2" applyNumberFormat="1" applyFont="1" applyBorder="1" applyAlignment="1">
      <alignment horizontal="center" vertical="center" wrapText="1"/>
    </xf>
    <xf numFmtId="10" fontId="1" fillId="0" borderId="2" xfId="0" applyNumberFormat="1" applyFont="1" applyBorder="1" applyAlignment="1">
      <alignment horizontal="center" vertical="center" wrapText="1"/>
    </xf>
    <xf numFmtId="10" fontId="1" fillId="0" borderId="0" xfId="2" applyNumberFormat="1" applyFont="1" applyBorder="1" applyAlignment="1">
      <alignment horizontal="center" vertical="center" wrapText="1"/>
    </xf>
    <xf numFmtId="9" fontId="1" fillId="8" borderId="76" xfId="0" applyNumberFormat="1" applyFont="1" applyFill="1" applyBorder="1" applyAlignment="1">
      <alignment horizontal="center" vertical="center" wrapText="1"/>
    </xf>
    <xf numFmtId="3" fontId="42" fillId="0" borderId="1" xfId="0" applyNumberFormat="1" applyFont="1" applyBorder="1" applyAlignment="1">
      <alignment horizontal="center" vertical="center" wrapText="1"/>
    </xf>
    <xf numFmtId="3" fontId="36" fillId="16" borderId="1" xfId="0" applyNumberFormat="1" applyFont="1" applyFill="1" applyBorder="1" applyAlignment="1">
      <alignment horizontal="center" vertical="center" wrapText="1"/>
    </xf>
    <xf numFmtId="3" fontId="36" fillId="0" borderId="24" xfId="0" applyNumberFormat="1" applyFont="1" applyBorder="1" applyAlignment="1">
      <alignment vertical="center" wrapText="1"/>
    </xf>
    <xf numFmtId="3" fontId="36" fillId="0" borderId="2" xfId="0" applyNumberFormat="1" applyFont="1" applyBorder="1" applyAlignment="1">
      <alignment vertical="center" wrapText="1"/>
    </xf>
    <xf numFmtId="3" fontId="36" fillId="0" borderId="2" xfId="0" applyNumberFormat="1" applyFont="1" applyBorder="1" applyAlignment="1">
      <alignment horizontal="center" vertical="center" wrapText="1"/>
    </xf>
    <xf numFmtId="3" fontId="42" fillId="0" borderId="2" xfId="0" applyNumberFormat="1" applyFont="1" applyBorder="1" applyAlignment="1">
      <alignment horizontal="center" vertical="center" wrapText="1"/>
    </xf>
    <xf numFmtId="0" fontId="36" fillId="16" borderId="22" xfId="0" applyFont="1" applyFill="1" applyBorder="1" applyAlignment="1">
      <alignment horizontal="center" vertical="center" wrapText="1"/>
    </xf>
    <xf numFmtId="0" fontId="36" fillId="17" borderId="22" xfId="0" applyFont="1" applyFill="1" applyBorder="1" applyAlignment="1">
      <alignment horizontal="center" vertical="center" wrapText="1"/>
    </xf>
    <xf numFmtId="3" fontId="41" fillId="0" borderId="76" xfId="0" applyNumberFormat="1" applyFont="1" applyBorder="1" applyAlignment="1">
      <alignment horizontal="center" vertical="center" wrapText="1"/>
    </xf>
    <xf numFmtId="0" fontId="36" fillId="17" borderId="83" xfId="0" applyFont="1" applyFill="1" applyBorder="1" applyAlignment="1">
      <alignment horizontal="center" vertical="center" wrapText="1"/>
    </xf>
    <xf numFmtId="0" fontId="1" fillId="8" borderId="11" xfId="0" applyFont="1" applyFill="1" applyBorder="1" applyAlignment="1">
      <alignment horizontal="center" vertical="center" wrapText="1"/>
    </xf>
    <xf numFmtId="3" fontId="38" fillId="0" borderId="78" xfId="0" applyNumberFormat="1" applyFont="1" applyBorder="1" applyAlignment="1">
      <alignment horizontal="center" vertical="center" wrapText="1"/>
    </xf>
    <xf numFmtId="1" fontId="17" fillId="0" borderId="0" xfId="0" applyNumberFormat="1" applyFont="1" applyAlignment="1">
      <alignment wrapText="1"/>
    </xf>
    <xf numFmtId="0" fontId="0" fillId="0" borderId="39" xfId="0" applyBorder="1" applyAlignment="1">
      <alignment horizontal="center" vertical="center" wrapText="1"/>
    </xf>
    <xf numFmtId="9" fontId="41" fillId="8" borderId="1" xfId="2" applyFont="1" applyFill="1" applyBorder="1" applyAlignment="1">
      <alignment horizontal="center" vertical="center" wrapText="1"/>
    </xf>
    <xf numFmtId="3" fontId="36" fillId="8" borderId="1" xfId="0" applyNumberFormat="1" applyFont="1" applyFill="1" applyBorder="1" applyAlignment="1">
      <alignment vertical="center" wrapText="1"/>
    </xf>
    <xf numFmtId="9" fontId="17" fillId="16" borderId="52" xfId="0" applyNumberFormat="1" applyFont="1" applyFill="1" applyBorder="1" applyAlignment="1">
      <alignment horizontal="center" vertical="center" wrapText="1"/>
    </xf>
    <xf numFmtId="9" fontId="17" fillId="16" borderId="24" xfId="0" applyNumberFormat="1" applyFont="1" applyFill="1" applyBorder="1" applyAlignment="1">
      <alignment horizontal="center" vertical="center" wrapText="1"/>
    </xf>
    <xf numFmtId="9" fontId="17" fillId="16" borderId="2" xfId="0" applyNumberFormat="1" applyFont="1" applyFill="1" applyBorder="1" applyAlignment="1">
      <alignment horizontal="center" vertical="center" wrapText="1"/>
    </xf>
    <xf numFmtId="9" fontId="17" fillId="16" borderId="53" xfId="0" applyNumberFormat="1" applyFont="1" applyFill="1" applyBorder="1" applyAlignment="1">
      <alignment horizontal="center" vertical="center" wrapText="1"/>
    </xf>
    <xf numFmtId="9" fontId="17" fillId="16" borderId="7" xfId="0" applyNumberFormat="1" applyFont="1" applyFill="1" applyBorder="1" applyAlignment="1">
      <alignment horizontal="center" vertical="center" wrapText="1"/>
    </xf>
    <xf numFmtId="9" fontId="17" fillId="16" borderId="1" xfId="0" applyNumberFormat="1" applyFont="1" applyFill="1" applyBorder="1" applyAlignment="1">
      <alignment horizontal="center" vertical="center" wrapText="1"/>
    </xf>
    <xf numFmtId="9" fontId="17" fillId="16" borderId="22" xfId="0" applyNumberFormat="1" applyFont="1" applyFill="1" applyBorder="1" applyAlignment="1">
      <alignment horizontal="center" vertical="center" wrapText="1"/>
    </xf>
    <xf numFmtId="0" fontId="2" fillId="0" borderId="108" xfId="0" applyFont="1" applyBorder="1" applyAlignment="1">
      <alignment vertical="center" wrapText="1"/>
    </xf>
    <xf numFmtId="0" fontId="2" fillId="0" borderId="75" xfId="0" applyFont="1" applyBorder="1" applyAlignment="1">
      <alignment vertical="center" wrapText="1"/>
    </xf>
    <xf numFmtId="0" fontId="2" fillId="0" borderId="52" xfId="0" applyFont="1" applyBorder="1" applyAlignment="1">
      <alignment vertical="center" wrapText="1"/>
    </xf>
    <xf numFmtId="0" fontId="2" fillId="0" borderId="86" xfId="0" applyFont="1" applyBorder="1" applyAlignment="1">
      <alignment vertical="center" wrapText="1"/>
    </xf>
    <xf numFmtId="17" fontId="2" fillId="4" borderId="96" xfId="0" applyNumberFormat="1" applyFont="1" applyFill="1" applyBorder="1" applyAlignment="1">
      <alignment horizontal="center" vertical="center" wrapText="1"/>
    </xf>
    <xf numFmtId="0" fontId="36" fillId="8" borderId="22" xfId="0" applyFont="1" applyFill="1" applyBorder="1" applyAlignment="1">
      <alignment horizontal="center" vertical="center" wrapText="1"/>
    </xf>
    <xf numFmtId="0" fontId="36" fillId="8" borderId="11" xfId="0" applyFont="1" applyFill="1" applyBorder="1" applyAlignment="1">
      <alignment horizontal="center" vertical="center" wrapText="1"/>
    </xf>
    <xf numFmtId="0" fontId="10" fillId="0" borderId="11" xfId="1" applyNumberFormat="1" applyFont="1" applyFill="1" applyBorder="1" applyAlignment="1">
      <alignment horizontal="center" vertical="center" wrapText="1"/>
    </xf>
    <xf numFmtId="0" fontId="10" fillId="8" borderId="11" xfId="1" applyNumberFormat="1" applyFont="1" applyFill="1" applyBorder="1" applyAlignment="1">
      <alignment horizontal="center" vertical="center" wrapText="1"/>
    </xf>
    <xf numFmtId="0" fontId="0" fillId="0" borderId="0" xfId="0" applyNumberFormat="1" applyAlignment="1">
      <alignment vertical="center"/>
    </xf>
    <xf numFmtId="0" fontId="2" fillId="2" borderId="97" xfId="0" applyNumberFormat="1" applyFont="1" applyFill="1" applyBorder="1" applyAlignment="1">
      <alignment horizontal="center" vertical="center" wrapText="1"/>
    </xf>
    <xf numFmtId="0" fontId="2" fillId="0" borderId="109" xfId="0" applyNumberFormat="1" applyFont="1" applyBorder="1" applyAlignment="1">
      <alignment horizontal="center" vertical="center" wrapText="1"/>
    </xf>
    <xf numFmtId="0" fontId="14" fillId="0" borderId="1" xfId="0"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0" fontId="2" fillId="5" borderId="2" xfId="0" applyNumberFormat="1" applyFont="1" applyFill="1" applyBorder="1" applyAlignment="1">
      <alignment horizontal="center" vertical="center" wrapText="1"/>
    </xf>
    <xf numFmtId="0" fontId="2" fillId="5" borderId="1" xfId="0" applyNumberFormat="1" applyFont="1" applyFill="1" applyBorder="1" applyAlignment="1">
      <alignment horizontal="center" vertical="center" wrapText="1"/>
    </xf>
    <xf numFmtId="0" fontId="2" fillId="5" borderId="11" xfId="0" applyNumberFormat="1" applyFont="1" applyFill="1" applyBorder="1" applyAlignment="1">
      <alignment horizontal="center" vertical="center" wrapText="1"/>
    </xf>
    <xf numFmtId="0" fontId="2" fillId="5" borderId="27" xfId="0" applyNumberFormat="1" applyFont="1" applyFill="1" applyBorder="1" applyAlignment="1">
      <alignment horizontal="center" vertical="center" wrapText="1"/>
    </xf>
    <xf numFmtId="0" fontId="14" fillId="5" borderId="2" xfId="0" applyNumberFormat="1" applyFont="1" applyFill="1" applyBorder="1" applyAlignment="1">
      <alignment horizontal="center" vertical="center" wrapText="1"/>
    </xf>
    <xf numFmtId="0" fontId="14" fillId="5" borderId="1" xfId="0" applyNumberFormat="1" applyFont="1" applyFill="1" applyBorder="1" applyAlignment="1">
      <alignment horizontal="center" vertical="center" wrapText="1"/>
    </xf>
    <xf numFmtId="0" fontId="32" fillId="5" borderId="11" xfId="0" applyNumberFormat="1" applyFont="1" applyFill="1" applyBorder="1" applyAlignment="1">
      <alignment horizontal="center" vertical="center" wrapText="1"/>
    </xf>
    <xf numFmtId="0" fontId="2" fillId="5" borderId="2" xfId="2" applyNumberFormat="1" applyFont="1" applyFill="1" applyBorder="1" applyAlignment="1">
      <alignment horizontal="center" vertical="center" wrapText="1"/>
    </xf>
    <xf numFmtId="0" fontId="2" fillId="5" borderId="1" xfId="2" applyNumberFormat="1" applyFont="1" applyFill="1" applyBorder="1" applyAlignment="1">
      <alignment horizontal="center" vertical="center" wrapText="1"/>
    </xf>
    <xf numFmtId="0" fontId="2" fillId="5" borderId="33" xfId="0" applyNumberFormat="1" applyFont="1" applyFill="1" applyBorder="1" applyAlignment="1">
      <alignment horizontal="center" vertical="center" wrapText="1"/>
    </xf>
    <xf numFmtId="0" fontId="14" fillId="5" borderId="11" xfId="0" applyNumberFormat="1" applyFont="1" applyFill="1" applyBorder="1" applyAlignment="1">
      <alignment horizontal="center" vertical="center" wrapText="1"/>
    </xf>
    <xf numFmtId="0" fontId="5" fillId="0" borderId="20" xfId="0" applyNumberFormat="1" applyFont="1" applyBorder="1" applyAlignment="1">
      <alignment horizontal="center" vertical="center" wrapText="1"/>
    </xf>
    <xf numFmtId="0" fontId="2" fillId="8" borderId="11" xfId="0" applyNumberFormat="1" applyFont="1" applyFill="1" applyBorder="1" applyAlignment="1">
      <alignment horizontal="center" vertical="center" wrapText="1"/>
    </xf>
    <xf numFmtId="0" fontId="2" fillId="8" borderId="1" xfId="0" applyNumberFormat="1" applyFont="1" applyFill="1" applyBorder="1" applyAlignment="1">
      <alignment horizontal="center" vertical="center" wrapText="1"/>
    </xf>
    <xf numFmtId="0" fontId="8" fillId="8" borderId="1" xfId="0" applyNumberFormat="1" applyFont="1" applyFill="1" applyBorder="1" applyAlignment="1">
      <alignment horizontal="center" vertical="center" wrapText="1"/>
    </xf>
    <xf numFmtId="0" fontId="8" fillId="8" borderId="11" xfId="0" applyNumberFormat="1" applyFont="1" applyFill="1" applyBorder="1" applyAlignment="1">
      <alignment horizontal="center" vertical="center" wrapText="1"/>
    </xf>
    <xf numFmtId="0" fontId="2" fillId="8" borderId="2" xfId="0" applyNumberFormat="1" applyFont="1" applyFill="1" applyBorder="1" applyAlignment="1">
      <alignment horizontal="center" vertical="center" wrapText="1"/>
    </xf>
    <xf numFmtId="0" fontId="2" fillId="8" borderId="3" xfId="0" applyNumberFormat="1" applyFont="1" applyFill="1" applyBorder="1" applyAlignment="1">
      <alignment horizontal="center" vertical="center" wrapText="1"/>
    </xf>
    <xf numFmtId="0" fontId="2" fillId="8" borderId="12" xfId="0" applyNumberFormat="1" applyFont="1" applyFill="1" applyBorder="1" applyAlignment="1">
      <alignment horizontal="center" vertical="center" wrapText="1"/>
    </xf>
    <xf numFmtId="0" fontId="2" fillId="5" borderId="39" xfId="0" applyNumberFormat="1" applyFont="1" applyFill="1" applyBorder="1" applyAlignment="1">
      <alignment horizontal="center" vertical="center" wrapText="1"/>
    </xf>
    <xf numFmtId="0" fontId="2" fillId="5" borderId="90" xfId="0" applyNumberFormat="1" applyFont="1" applyFill="1" applyBorder="1" applyAlignment="1">
      <alignment horizontal="center" vertical="center" wrapText="1"/>
    </xf>
    <xf numFmtId="0" fontId="0" fillId="0" borderId="0" xfId="0" applyNumberFormat="1"/>
    <xf numFmtId="0" fontId="0" fillId="8" borderId="23" xfId="0" applyNumberFormat="1" applyFill="1" applyBorder="1" applyAlignment="1">
      <alignment horizontal="center" vertical="center" wrapText="1"/>
    </xf>
    <xf numFmtId="0" fontId="0" fillId="8" borderId="62" xfId="0" applyNumberFormat="1" applyFill="1" applyBorder="1" applyAlignment="1">
      <alignment horizontal="center" vertical="center" wrapText="1"/>
    </xf>
    <xf numFmtId="0" fontId="0" fillId="0" borderId="62" xfId="0" applyNumberFormat="1" applyBorder="1" applyAlignment="1">
      <alignment horizontal="center" vertical="center" wrapText="1"/>
    </xf>
    <xf numFmtId="0" fontId="0" fillId="0" borderId="59" xfId="0" applyNumberFormat="1" applyBorder="1" applyAlignment="1">
      <alignment horizontal="center" vertical="center" wrapText="1"/>
    </xf>
    <xf numFmtId="0" fontId="0" fillId="0" borderId="2" xfId="0" applyNumberFormat="1" applyBorder="1" applyAlignment="1">
      <alignment horizontal="center" vertical="center" wrapText="1"/>
    </xf>
    <xf numFmtId="0" fontId="33" fillId="0" borderId="62" xfId="0" applyNumberFormat="1" applyFont="1" applyBorder="1" applyAlignment="1">
      <alignment horizontal="center" vertical="center" wrapText="1"/>
    </xf>
    <xf numFmtId="0" fontId="33" fillId="0" borderId="119" xfId="0" applyNumberFormat="1" applyFont="1" applyBorder="1" applyAlignment="1">
      <alignment horizontal="center" vertical="center" wrapText="1"/>
    </xf>
    <xf numFmtId="0" fontId="0" fillId="8" borderId="53" xfId="0" applyNumberFormat="1" applyFill="1" applyBorder="1" applyAlignment="1">
      <alignment horizontal="center" vertical="center" wrapText="1"/>
    </xf>
    <xf numFmtId="0" fontId="0" fillId="8" borderId="1" xfId="0" applyNumberFormat="1" applyFill="1" applyBorder="1" applyAlignment="1">
      <alignment horizontal="center" vertical="center" wrapText="1"/>
    </xf>
    <xf numFmtId="0" fontId="0" fillId="0" borderId="1" xfId="0" applyNumberFormat="1" applyBorder="1" applyAlignment="1">
      <alignment horizontal="center" vertical="center" wrapText="1"/>
    </xf>
    <xf numFmtId="0" fontId="0" fillId="0" borderId="7" xfId="0" applyNumberFormat="1" applyBorder="1" applyAlignment="1">
      <alignment horizontal="center" vertical="center" wrapText="1"/>
    </xf>
    <xf numFmtId="0" fontId="33" fillId="0" borderId="1" xfId="0" applyNumberFormat="1" applyFont="1" applyBorder="1" applyAlignment="1">
      <alignment horizontal="center" vertical="center" wrapText="1"/>
    </xf>
    <xf numFmtId="0" fontId="33" fillId="0" borderId="78" xfId="0" applyNumberFormat="1" applyFont="1" applyBorder="1" applyAlignment="1">
      <alignment horizontal="center" vertical="center" wrapText="1"/>
    </xf>
    <xf numFmtId="0" fontId="5" fillId="0" borderId="45"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42" xfId="0" applyFont="1" applyBorder="1" applyAlignment="1">
      <alignment horizontal="center" vertical="center" wrapText="1"/>
    </xf>
    <xf numFmtId="9" fontId="10" fillId="0" borderId="32" xfId="0" applyNumberFormat="1" applyFont="1" applyBorder="1" applyAlignment="1">
      <alignment horizontal="center" vertical="center" wrapText="1"/>
    </xf>
    <xf numFmtId="0" fontId="10" fillId="0" borderId="32" xfId="0" applyFont="1" applyBorder="1" applyAlignment="1">
      <alignment horizontal="center" vertical="center" wrapText="1"/>
    </xf>
    <xf numFmtId="0" fontId="10" fillId="0" borderId="7"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34" xfId="0" applyFont="1" applyBorder="1" applyAlignment="1">
      <alignment horizontal="center" vertical="center" wrapText="1"/>
    </xf>
    <xf numFmtId="9" fontId="5" fillId="0" borderId="30" xfId="0" applyNumberFormat="1" applyFont="1" applyBorder="1" applyAlignment="1">
      <alignment horizontal="center" vertical="center" wrapText="1"/>
    </xf>
    <xf numFmtId="0" fontId="5" fillId="0" borderId="36"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5" xfId="0" applyFont="1" applyBorder="1" applyAlignment="1">
      <alignment horizontal="center" vertical="center" wrapText="1"/>
    </xf>
    <xf numFmtId="9" fontId="5" fillId="0" borderId="33" xfId="0" applyNumberFormat="1" applyFont="1" applyBorder="1" applyAlignment="1">
      <alignment horizontal="center" vertical="center" wrapText="1"/>
    </xf>
    <xf numFmtId="9" fontId="5" fillId="0" borderId="33" xfId="1" applyNumberFormat="1" applyFont="1" applyBorder="1" applyAlignment="1">
      <alignment horizontal="center" vertical="center" wrapText="1"/>
    </xf>
    <xf numFmtId="165" fontId="5" fillId="0" borderId="32" xfId="1" applyFont="1" applyBorder="1" applyAlignment="1">
      <alignment horizontal="center" vertical="center" wrapText="1"/>
    </xf>
    <xf numFmtId="165" fontId="5" fillId="0" borderId="7" xfId="1" applyFont="1" applyBorder="1" applyAlignment="1">
      <alignment horizontal="center" vertical="center" wrapText="1"/>
    </xf>
    <xf numFmtId="9" fontId="5" fillId="0" borderId="44" xfId="0" applyNumberFormat="1" applyFont="1" applyBorder="1" applyAlignment="1">
      <alignment horizontal="center" vertical="center" wrapText="1"/>
    </xf>
    <xf numFmtId="165" fontId="5" fillId="0" borderId="44" xfId="1" applyFont="1" applyBorder="1" applyAlignment="1">
      <alignment horizontal="center" vertical="center" wrapText="1"/>
    </xf>
    <xf numFmtId="165" fontId="5" fillId="0" borderId="33" xfId="1" applyFont="1" applyBorder="1" applyAlignment="1">
      <alignment horizontal="center" vertical="center" wrapText="1"/>
    </xf>
    <xf numFmtId="9" fontId="5" fillId="0" borderId="45" xfId="2" applyFont="1" applyBorder="1" applyAlignment="1">
      <alignment horizontal="center" vertical="center" wrapText="1"/>
    </xf>
    <xf numFmtId="9" fontId="5" fillId="0" borderId="29" xfId="2" applyFont="1" applyBorder="1" applyAlignment="1">
      <alignment horizontal="center" vertical="center" wrapText="1"/>
    </xf>
    <xf numFmtId="9" fontId="5" fillId="0" borderId="24" xfId="2" applyFont="1" applyBorder="1" applyAlignment="1">
      <alignment horizontal="center" vertical="center" wrapText="1"/>
    </xf>
    <xf numFmtId="9" fontId="5" fillId="0" borderId="30" xfId="2" applyFont="1" applyBorder="1" applyAlignment="1">
      <alignment horizontal="center" vertical="center" wrapText="1"/>
    </xf>
    <xf numFmtId="9" fontId="5" fillId="0" borderId="46" xfId="0" applyNumberFormat="1" applyFont="1" applyBorder="1" applyAlignment="1">
      <alignment horizontal="center" vertical="center" wrapText="1"/>
    </xf>
    <xf numFmtId="9" fontId="5" fillId="0" borderId="36" xfId="0" applyNumberFormat="1" applyFont="1" applyBorder="1" applyAlignment="1">
      <alignment horizontal="center" vertical="center" wrapText="1"/>
    </xf>
    <xf numFmtId="9" fontId="5" fillId="0" borderId="36" xfId="1" applyNumberFormat="1" applyFont="1" applyBorder="1" applyAlignment="1">
      <alignment horizontal="center" vertical="center" wrapText="1"/>
    </xf>
    <xf numFmtId="165" fontId="5" fillId="0" borderId="35" xfId="1" applyFont="1" applyBorder="1" applyAlignment="1">
      <alignment horizontal="center" vertical="center" wrapText="1"/>
    </xf>
    <xf numFmtId="165" fontId="5" fillId="0" borderId="22" xfId="1" applyFont="1" applyBorder="1" applyAlignment="1">
      <alignment horizontal="center" vertical="center" wrapText="1"/>
    </xf>
    <xf numFmtId="0" fontId="5" fillId="0" borderId="11"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37" xfId="0" applyFont="1" applyBorder="1" applyAlignment="1">
      <alignment horizontal="center" vertical="center" wrapText="1"/>
    </xf>
    <xf numFmtId="166" fontId="5" fillId="0" borderId="44" xfId="1" applyNumberFormat="1" applyFont="1" applyBorder="1" applyAlignment="1">
      <alignment horizontal="center" vertical="center" wrapText="1"/>
    </xf>
    <xf numFmtId="166" fontId="5" fillId="0" borderId="32" xfId="1" applyNumberFormat="1" applyFont="1" applyBorder="1" applyAlignment="1">
      <alignment horizontal="center" vertical="center" wrapText="1"/>
    </xf>
    <xf numFmtId="166" fontId="5" fillId="0" borderId="7" xfId="1" applyNumberFormat="1" applyFont="1" applyBorder="1" applyAlignment="1">
      <alignment horizontal="center" vertical="center" wrapText="1"/>
    </xf>
    <xf numFmtId="0" fontId="10" fillId="0" borderId="43" xfId="0" applyFont="1" applyBorder="1" applyAlignment="1">
      <alignment horizontal="center" vertical="center" wrapText="1"/>
    </xf>
    <xf numFmtId="9" fontId="5" fillId="0" borderId="29"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166" fontId="5" fillId="0" borderId="33" xfId="1" applyNumberFormat="1" applyFont="1" applyBorder="1" applyAlignment="1">
      <alignment horizontal="center" vertical="center" wrapText="1"/>
    </xf>
    <xf numFmtId="166" fontId="5" fillId="0" borderId="45" xfId="1" applyNumberFormat="1" applyFont="1" applyBorder="1" applyAlignment="1">
      <alignment horizontal="center" vertical="center" wrapText="1"/>
    </xf>
    <xf numFmtId="166" fontId="5" fillId="0" borderId="29" xfId="1" applyNumberFormat="1" applyFont="1" applyBorder="1" applyAlignment="1">
      <alignment horizontal="center" vertical="center" wrapText="1"/>
    </xf>
    <xf numFmtId="166" fontId="5" fillId="0" borderId="24" xfId="1" applyNumberFormat="1" applyFont="1" applyBorder="1" applyAlignment="1">
      <alignment horizontal="center" vertical="center" wrapText="1"/>
    </xf>
    <xf numFmtId="0" fontId="5" fillId="0" borderId="12" xfId="0" applyFont="1" applyBorder="1" applyAlignment="1">
      <alignment horizontal="center" vertical="center" wrapText="1"/>
    </xf>
    <xf numFmtId="0" fontId="0" fillId="0" borderId="44" xfId="0" applyBorder="1" applyAlignment="1">
      <alignment horizontal="center" vertical="center" wrapText="1"/>
    </xf>
    <xf numFmtId="0" fontId="0" fillId="0" borderId="32" xfId="0" applyBorder="1" applyAlignment="1">
      <alignment horizontal="center" vertical="center" wrapText="1"/>
    </xf>
    <xf numFmtId="0" fontId="0" fillId="0" borderId="7" xfId="0" applyBorder="1" applyAlignment="1">
      <alignment horizontal="center" vertical="center" wrapText="1"/>
    </xf>
    <xf numFmtId="14" fontId="0" fillId="0" borderId="0" xfId="0" applyNumberFormat="1" applyAlignment="1">
      <alignment horizontal="left" vertical="center"/>
    </xf>
    <xf numFmtId="9" fontId="5" fillId="0" borderId="32" xfId="0" applyNumberFormat="1" applyFont="1" applyBorder="1" applyAlignment="1">
      <alignment horizontal="center" vertical="center" wrapText="1"/>
    </xf>
    <xf numFmtId="0" fontId="5" fillId="0" borderId="32" xfId="0" quotePrefix="1" applyFont="1" applyBorder="1" applyAlignment="1">
      <alignment horizontal="center" vertical="center" wrapText="1"/>
    </xf>
    <xf numFmtId="14" fontId="4" fillId="3" borderId="20" xfId="0" applyNumberFormat="1" applyFont="1" applyFill="1" applyBorder="1" applyAlignment="1">
      <alignment horizontal="center" vertical="center" wrapText="1"/>
    </xf>
    <xf numFmtId="14" fontId="4" fillId="3" borderId="19" xfId="0" applyNumberFormat="1" applyFont="1" applyFill="1" applyBorder="1" applyAlignment="1">
      <alignment horizontal="center" vertical="center" wrapText="1"/>
    </xf>
    <xf numFmtId="14" fontId="4" fillId="3" borderId="21" xfId="0" applyNumberFormat="1" applyFont="1" applyFill="1" applyBorder="1" applyAlignment="1">
      <alignment horizontal="center" vertical="center" wrapText="1"/>
    </xf>
    <xf numFmtId="14" fontId="4" fillId="3" borderId="18" xfId="0" applyNumberFormat="1" applyFont="1" applyFill="1" applyBorder="1" applyAlignment="1">
      <alignment horizontal="center" vertical="center" wrapText="1"/>
    </xf>
    <xf numFmtId="14" fontId="4" fillId="3" borderId="17" xfId="0" applyNumberFormat="1" applyFont="1" applyFill="1" applyBorder="1" applyAlignment="1">
      <alignment horizontal="center" vertical="center" wrapText="1"/>
    </xf>
    <xf numFmtId="0" fontId="13" fillId="0" borderId="0" xfId="0" applyFont="1" applyAlignment="1">
      <alignment horizontal="left" vertical="top"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center" vertical="center" wrapText="1"/>
    </xf>
    <xf numFmtId="10" fontId="5" fillId="8"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49" fontId="2" fillId="5" borderId="9" xfId="0" applyNumberFormat="1" applyFont="1" applyFill="1" applyBorder="1" applyAlignment="1">
      <alignment horizontal="center" vertical="center" wrapText="1"/>
    </xf>
    <xf numFmtId="0" fontId="2" fillId="0" borderId="60"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62" xfId="0" applyFont="1" applyBorder="1" applyAlignment="1">
      <alignment horizontal="center" vertical="center" wrapText="1"/>
    </xf>
    <xf numFmtId="0" fontId="2" fillId="0" borderId="47" xfId="0" applyFont="1" applyBorder="1" applyAlignment="1">
      <alignment horizontal="center" vertical="center" wrapText="1"/>
    </xf>
    <xf numFmtId="9" fontId="18" fillId="0" borderId="2" xfId="0" applyNumberFormat="1" applyFont="1" applyBorder="1" applyAlignment="1">
      <alignment horizontal="center" vertical="center" wrapText="1"/>
    </xf>
    <xf numFmtId="9" fontId="18" fillId="0" borderId="2" xfId="2" applyFont="1" applyFill="1" applyBorder="1" applyAlignment="1">
      <alignment horizontal="center" vertical="center" wrapText="1"/>
    </xf>
    <xf numFmtId="9" fontId="18" fillId="0" borderId="3" xfId="2" applyFont="1" applyFill="1" applyBorder="1" applyAlignment="1">
      <alignment horizontal="center" vertical="center" wrapText="1"/>
    </xf>
    <xf numFmtId="9" fontId="19" fillId="0" borderId="1" xfId="2" applyFont="1" applyFill="1" applyBorder="1" applyAlignment="1">
      <alignment horizontal="center" vertical="center" wrapText="1"/>
    </xf>
    <xf numFmtId="9" fontId="19" fillId="0" borderId="11" xfId="0" applyNumberFormat="1" applyFont="1" applyBorder="1" applyAlignment="1">
      <alignment horizontal="center" vertical="center" wrapText="1"/>
    </xf>
    <xf numFmtId="9" fontId="18" fillId="0" borderId="1" xfId="2" applyFont="1" applyFill="1" applyBorder="1" applyAlignment="1">
      <alignment horizontal="center" vertical="center" wrapText="1"/>
    </xf>
    <xf numFmtId="9" fontId="18" fillId="0" borderId="4" xfId="2" applyFont="1" applyFill="1" applyBorder="1" applyAlignment="1">
      <alignment horizontal="center" vertical="center" wrapText="1"/>
    </xf>
    <xf numFmtId="9" fontId="19" fillId="0" borderId="12" xfId="0" applyNumberFormat="1" applyFont="1" applyBorder="1" applyAlignment="1">
      <alignment horizontal="center" vertical="center" wrapText="1"/>
    </xf>
    <xf numFmtId="9" fontId="18" fillId="0" borderId="1" xfId="0" applyNumberFormat="1" applyFont="1" applyBorder="1" applyAlignment="1">
      <alignment horizontal="center" vertical="center" wrapText="1"/>
    </xf>
    <xf numFmtId="9" fontId="18" fillId="0" borderId="4" xfId="0" applyNumberFormat="1" applyFont="1" applyBorder="1" applyAlignment="1">
      <alignment horizontal="center" vertical="center" wrapText="1"/>
    </xf>
    <xf numFmtId="165" fontId="5" fillId="8" borderId="30" xfId="1" applyFont="1" applyFill="1" applyBorder="1" applyAlignment="1">
      <alignment horizontal="right" vertical="center" wrapText="1"/>
    </xf>
    <xf numFmtId="165" fontId="5" fillId="8" borderId="29" xfId="1" applyFont="1" applyFill="1" applyBorder="1" applyAlignment="1">
      <alignment horizontal="right" vertical="center" wrapText="1"/>
    </xf>
    <xf numFmtId="165" fontId="5" fillId="8" borderId="24" xfId="1" applyFont="1" applyFill="1" applyBorder="1" applyAlignment="1">
      <alignment horizontal="right" vertical="center" wrapText="1"/>
    </xf>
    <xf numFmtId="165" fontId="5" fillId="8" borderId="44" xfId="1" applyFont="1" applyFill="1" applyBorder="1" applyAlignment="1">
      <alignment horizontal="center" vertical="center" wrapText="1"/>
    </xf>
    <xf numFmtId="165" fontId="5" fillId="8" borderId="32" xfId="1" applyFont="1" applyFill="1" applyBorder="1" applyAlignment="1">
      <alignment horizontal="center" vertical="center" wrapText="1"/>
    </xf>
    <xf numFmtId="165" fontId="5" fillId="8" borderId="7" xfId="1" applyFont="1" applyFill="1" applyBorder="1" applyAlignment="1">
      <alignment horizontal="center" vertical="center" wrapText="1"/>
    </xf>
    <xf numFmtId="0" fontId="2" fillId="0" borderId="27" xfId="0" applyFont="1" applyBorder="1" applyAlignment="1">
      <alignment horizontal="center" vertical="center" wrapText="1"/>
    </xf>
    <xf numFmtId="9" fontId="5" fillId="10" borderId="42" xfId="1" applyNumberFormat="1" applyFont="1" applyFill="1" applyBorder="1" applyAlignment="1">
      <alignment horizontal="center" vertical="center" wrapText="1"/>
    </xf>
    <xf numFmtId="165" fontId="5" fillId="10" borderId="41" xfId="1" applyFont="1" applyFill="1" applyBorder="1" applyAlignment="1">
      <alignment horizontal="center" vertical="center" wrapText="1"/>
    </xf>
    <xf numFmtId="165" fontId="5" fillId="10" borderId="14" xfId="1" applyFont="1" applyFill="1" applyBorder="1" applyAlignment="1">
      <alignment horizontal="center" vertical="center" wrapText="1"/>
    </xf>
    <xf numFmtId="9" fontId="5" fillId="0" borderId="42" xfId="0" applyNumberFormat="1" applyFont="1" applyBorder="1" applyAlignment="1">
      <alignment horizontal="center" vertical="center" wrapText="1"/>
    </xf>
    <xf numFmtId="0" fontId="5" fillId="0" borderId="41" xfId="0" applyFont="1" applyBorder="1" applyAlignment="1">
      <alignment horizontal="center" vertical="center" wrapText="1"/>
    </xf>
    <xf numFmtId="0" fontId="5" fillId="0" borderId="14" xfId="0" applyFont="1" applyBorder="1" applyAlignment="1">
      <alignment horizontal="center" vertical="center" wrapText="1"/>
    </xf>
    <xf numFmtId="165" fontId="5" fillId="8" borderId="33" xfId="1" applyFont="1" applyFill="1" applyBorder="1" applyAlignment="1">
      <alignment horizontal="center" vertical="center" wrapText="1"/>
    </xf>
    <xf numFmtId="165" fontId="5" fillId="8" borderId="33" xfId="1" applyFont="1" applyFill="1" applyBorder="1" applyAlignment="1">
      <alignment horizontal="right" vertical="center" wrapText="1"/>
    </xf>
    <xf numFmtId="165" fontId="5" fillId="8" borderId="32" xfId="1" applyFont="1" applyFill="1" applyBorder="1" applyAlignment="1">
      <alignment horizontal="right" vertical="center" wrapText="1"/>
    </xf>
    <xf numFmtId="165" fontId="5" fillId="8" borderId="7" xfId="1" applyFont="1" applyFill="1" applyBorder="1" applyAlignment="1">
      <alignment horizontal="right" vertical="center" wrapText="1"/>
    </xf>
    <xf numFmtId="9" fontId="5" fillId="0" borderId="64" xfId="0" applyNumberFormat="1" applyFont="1" applyBorder="1" applyAlignment="1">
      <alignment horizontal="center" vertical="center" wrapText="1"/>
    </xf>
    <xf numFmtId="9" fontId="5" fillId="10" borderId="33" xfId="1" applyNumberFormat="1" applyFont="1" applyFill="1" applyBorder="1" applyAlignment="1">
      <alignment horizontal="center" vertical="center" wrapText="1"/>
    </xf>
    <xf numFmtId="165" fontId="5" fillId="10" borderId="32" xfId="1" applyFont="1" applyFill="1" applyBorder="1" applyAlignment="1">
      <alignment horizontal="center" vertical="center" wrapText="1"/>
    </xf>
    <xf numFmtId="165" fontId="5" fillId="10" borderId="7" xfId="1" applyFont="1" applyFill="1" applyBorder="1" applyAlignment="1">
      <alignment horizontal="center" vertical="center" wrapText="1"/>
    </xf>
    <xf numFmtId="9" fontId="5" fillId="0" borderId="39" xfId="0" applyNumberFormat="1" applyFont="1" applyBorder="1" applyAlignment="1">
      <alignment horizontal="center" vertical="center" wrapText="1"/>
    </xf>
    <xf numFmtId="9" fontId="5" fillId="0" borderId="39" xfId="1" applyNumberFormat="1" applyFont="1" applyBorder="1" applyAlignment="1">
      <alignment horizontal="center" vertical="center" wrapText="1"/>
    </xf>
    <xf numFmtId="165" fontId="5" fillId="0" borderId="38" xfId="1" applyFont="1" applyBorder="1" applyAlignment="1">
      <alignment horizontal="center" vertical="center" wrapText="1"/>
    </xf>
    <xf numFmtId="165" fontId="5" fillId="0" borderId="13" xfId="1" applyFont="1" applyBorder="1" applyAlignment="1">
      <alignment horizontal="center" vertical="center" wrapText="1"/>
    </xf>
    <xf numFmtId="9" fontId="5" fillId="0" borderId="36" xfId="1" applyNumberFormat="1" applyFont="1" applyFill="1" applyBorder="1" applyAlignment="1">
      <alignment horizontal="center" vertical="center" wrapText="1"/>
    </xf>
    <xf numFmtId="165" fontId="5" fillId="0" borderId="35" xfId="1" applyFont="1" applyFill="1" applyBorder="1" applyAlignment="1">
      <alignment horizontal="center" vertical="center" wrapText="1"/>
    </xf>
    <xf numFmtId="165" fontId="5" fillId="0" borderId="22" xfId="1" applyFont="1" applyFill="1" applyBorder="1" applyAlignment="1">
      <alignment horizontal="center" vertical="center" wrapText="1"/>
    </xf>
    <xf numFmtId="0" fontId="5" fillId="8" borderId="36" xfId="0" applyFont="1" applyFill="1" applyBorder="1" applyAlignment="1">
      <alignment horizontal="center" vertical="center" wrapText="1"/>
    </xf>
    <xf numFmtId="0" fontId="5" fillId="8" borderId="35" xfId="0" applyFont="1" applyFill="1" applyBorder="1" applyAlignment="1">
      <alignment horizontal="center" vertical="center" wrapText="1"/>
    </xf>
    <xf numFmtId="0" fontId="5" fillId="8" borderId="22" xfId="0" applyFont="1" applyFill="1" applyBorder="1" applyAlignment="1">
      <alignment horizontal="center" vertical="center" wrapText="1"/>
    </xf>
    <xf numFmtId="165" fontId="5" fillId="0" borderId="30" xfId="1" applyFont="1" applyBorder="1" applyAlignment="1">
      <alignment horizontal="right" vertical="center" wrapText="1"/>
    </xf>
    <xf numFmtId="165" fontId="5" fillId="0" borderId="29" xfId="1" applyFont="1" applyBorder="1" applyAlignment="1">
      <alignment horizontal="right" vertical="center" wrapText="1"/>
    </xf>
    <xf numFmtId="165" fontId="5" fillId="0" borderId="24" xfId="1" applyFont="1" applyBorder="1" applyAlignment="1">
      <alignment horizontal="right" vertical="center" wrapText="1"/>
    </xf>
    <xf numFmtId="10" fontId="5" fillId="0" borderId="36" xfId="0" applyNumberFormat="1" applyFont="1" applyBorder="1" applyAlignment="1">
      <alignment horizontal="center" vertical="center" wrapText="1"/>
    </xf>
    <xf numFmtId="165" fontId="5" fillId="0" borderId="45" xfId="1" applyFont="1" applyBorder="1" applyAlignment="1">
      <alignment horizontal="center" vertical="center" wrapText="1"/>
    </xf>
    <xf numFmtId="165" fontId="5" fillId="0" borderId="29" xfId="1" applyFont="1" applyBorder="1" applyAlignment="1">
      <alignment horizontal="center" vertical="center" wrapText="1"/>
    </xf>
    <xf numFmtId="165" fontId="5" fillId="0" borderId="24" xfId="1" applyFont="1" applyBorder="1" applyAlignment="1">
      <alignment horizontal="center" vertical="center" wrapText="1"/>
    </xf>
    <xf numFmtId="0" fontId="5" fillId="13" borderId="32"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5" fillId="13" borderId="33"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11" borderId="1"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5" fillId="11" borderId="33" xfId="0" applyFont="1" applyFill="1" applyBorder="1" applyAlignment="1">
      <alignment horizontal="center" vertical="center" wrapText="1"/>
    </xf>
    <xf numFmtId="0" fontId="5" fillId="11" borderId="32"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0" fillId="11" borderId="44" xfId="0" applyFill="1" applyBorder="1" applyAlignment="1">
      <alignment horizontal="center" vertical="center" wrapText="1"/>
    </xf>
    <xf numFmtId="0" fontId="0" fillId="11" borderId="32" xfId="0" applyFill="1" applyBorder="1" applyAlignment="1">
      <alignment horizontal="center" vertical="center" wrapText="1"/>
    </xf>
    <xf numFmtId="0" fontId="0" fillId="11" borderId="7" xfId="0" applyFill="1" applyBorder="1" applyAlignment="1">
      <alignment horizontal="center" vertical="center" wrapText="1"/>
    </xf>
    <xf numFmtId="0" fontId="5" fillId="13" borderId="44"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13" borderId="30" xfId="0" applyFont="1" applyFill="1" applyBorder="1" applyAlignment="1">
      <alignment horizontal="center" vertical="center" wrapText="1"/>
    </xf>
    <xf numFmtId="0" fontId="5" fillId="13" borderId="29" xfId="0" applyFont="1" applyFill="1" applyBorder="1" applyAlignment="1">
      <alignment horizontal="center" vertical="center" wrapText="1"/>
    </xf>
    <xf numFmtId="0" fontId="5" fillId="13" borderId="24" xfId="0" applyFont="1" applyFill="1" applyBorder="1" applyAlignment="1">
      <alignment horizontal="center" vertical="center" wrapText="1"/>
    </xf>
    <xf numFmtId="0" fontId="9" fillId="0" borderId="65" xfId="0" applyFont="1" applyBorder="1" applyAlignment="1">
      <alignment horizontal="center" vertical="center" wrapText="1"/>
    </xf>
    <xf numFmtId="14" fontId="4" fillId="3" borderId="56" xfId="0" applyNumberFormat="1" applyFont="1" applyFill="1" applyBorder="1" applyAlignment="1">
      <alignment horizontal="center" vertical="center" wrapText="1"/>
    </xf>
    <xf numFmtId="14" fontId="4" fillId="3" borderId="58" xfId="0" applyNumberFormat="1" applyFont="1" applyFill="1" applyBorder="1" applyAlignment="1">
      <alignment horizontal="center" vertical="center" wrapText="1"/>
    </xf>
    <xf numFmtId="14" fontId="4" fillId="3" borderId="59" xfId="0" applyNumberFormat="1" applyFont="1" applyFill="1" applyBorder="1" applyAlignment="1">
      <alignment horizontal="center" vertical="center" wrapText="1"/>
    </xf>
    <xf numFmtId="14" fontId="4" fillId="3" borderId="60" xfId="0" applyNumberFormat="1" applyFont="1" applyFill="1" applyBorder="1" applyAlignment="1">
      <alignment horizontal="center" vertical="center" wrapText="1"/>
    </xf>
    <xf numFmtId="14" fontId="4" fillId="3" borderId="61" xfId="0" applyNumberFormat="1" applyFont="1" applyFill="1" applyBorder="1" applyAlignment="1">
      <alignment horizontal="center" vertical="center" wrapText="1"/>
    </xf>
    <xf numFmtId="49" fontId="2" fillId="5" borderId="52" xfId="0" applyNumberFormat="1" applyFont="1" applyFill="1" applyBorder="1" applyAlignment="1">
      <alignment horizontal="center" vertical="center" wrapText="1"/>
    </xf>
    <xf numFmtId="49" fontId="2" fillId="5" borderId="2" xfId="0" applyNumberFormat="1" applyFont="1" applyFill="1" applyBorder="1" applyAlignment="1">
      <alignment horizontal="center" vertical="center" wrapText="1"/>
    </xf>
    <xf numFmtId="0" fontId="5" fillId="0" borderId="53" xfId="0" applyFont="1" applyBorder="1" applyAlignment="1">
      <alignment horizontal="center" vertical="center" wrapText="1"/>
    </xf>
    <xf numFmtId="0" fontId="5" fillId="0" borderId="54" xfId="0" applyFont="1" applyBorder="1" applyAlignment="1">
      <alignment horizontal="center" vertical="center" wrapText="1"/>
    </xf>
    <xf numFmtId="1" fontId="5" fillId="0" borderId="33" xfId="0" applyNumberFormat="1" applyFont="1" applyBorder="1" applyAlignment="1">
      <alignment horizontal="center" vertical="center" wrapText="1"/>
    </xf>
    <xf numFmtId="1" fontId="5" fillId="0" borderId="32" xfId="0" applyNumberFormat="1" applyFont="1" applyBorder="1" applyAlignment="1">
      <alignment horizontal="center" vertical="center" wrapText="1"/>
    </xf>
    <xf numFmtId="1" fontId="5" fillId="0" borderId="7"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5" fillId="9" borderId="45" xfId="0" applyFont="1" applyFill="1" applyBorder="1" applyAlignment="1">
      <alignment horizontal="center" vertical="center" wrapText="1"/>
    </xf>
    <xf numFmtId="0" fontId="5" fillId="9" borderId="29" xfId="0" applyFont="1" applyFill="1" applyBorder="1" applyAlignment="1">
      <alignment horizontal="center" vertical="center" wrapText="1"/>
    </xf>
    <xf numFmtId="0" fontId="5" fillId="9" borderId="24" xfId="0" applyFont="1" applyFill="1" applyBorder="1" applyAlignment="1">
      <alignment horizontal="center" vertical="center" wrapText="1"/>
    </xf>
    <xf numFmtId="9" fontId="5" fillId="8" borderId="32" xfId="0" applyNumberFormat="1" applyFont="1" applyFill="1" applyBorder="1" applyAlignment="1">
      <alignment horizontal="center" vertical="center" wrapText="1"/>
    </xf>
    <xf numFmtId="0" fontId="5" fillId="8" borderId="32" xfId="0" applyFont="1" applyFill="1" applyBorder="1" applyAlignment="1">
      <alignment horizontal="center" vertical="center" wrapText="1"/>
    </xf>
    <xf numFmtId="0" fontId="5" fillId="8" borderId="7" xfId="0" applyFont="1" applyFill="1" applyBorder="1" applyAlignment="1">
      <alignment horizontal="center" vertical="center" wrapText="1"/>
    </xf>
    <xf numFmtId="9" fontId="5" fillId="8" borderId="33" xfId="0" applyNumberFormat="1" applyFont="1" applyFill="1" applyBorder="1" applyAlignment="1">
      <alignment horizontal="center" vertical="center" wrapText="1"/>
    </xf>
    <xf numFmtId="9" fontId="5" fillId="0" borderId="32" xfId="0" quotePrefix="1" applyNumberFormat="1" applyFont="1" applyBorder="1" applyAlignment="1">
      <alignment horizontal="center" vertical="center" wrapText="1"/>
    </xf>
    <xf numFmtId="10" fontId="5" fillId="0" borderId="20" xfId="0" applyNumberFormat="1" applyFont="1" applyBorder="1" applyAlignment="1">
      <alignment horizontal="center" vertical="center"/>
    </xf>
    <xf numFmtId="0" fontId="5" fillId="0" borderId="19" xfId="0" applyFont="1" applyBorder="1" applyAlignment="1">
      <alignment horizontal="center" vertical="center"/>
    </xf>
    <xf numFmtId="0" fontId="5" fillId="0" borderId="21" xfId="0" applyFont="1" applyBorder="1" applyAlignment="1">
      <alignment horizontal="center" vertical="center"/>
    </xf>
    <xf numFmtId="9" fontId="5" fillId="0" borderId="63" xfId="0" applyNumberFormat="1" applyFont="1" applyBorder="1" applyAlignment="1">
      <alignment horizontal="center" vertical="center" wrapText="1"/>
    </xf>
    <xf numFmtId="9" fontId="5" fillId="0" borderId="54" xfId="0" applyNumberFormat="1" applyFont="1" applyBorder="1" applyAlignment="1">
      <alignment horizontal="center" vertical="center" wrapText="1"/>
    </xf>
    <xf numFmtId="9" fontId="5" fillId="0" borderId="11" xfId="0" applyNumberFormat="1" applyFont="1" applyBorder="1" applyAlignment="1">
      <alignment horizontal="center" vertical="center" wrapText="1"/>
    </xf>
    <xf numFmtId="0" fontId="0" fillId="0" borderId="2" xfId="0" applyBorder="1" applyAlignment="1">
      <alignment horizontal="center" vertical="center" wrapText="1"/>
    </xf>
    <xf numFmtId="168" fontId="0" fillId="0" borderId="11" xfId="1" applyNumberFormat="1" applyFont="1" applyFill="1" applyBorder="1" applyAlignment="1">
      <alignment horizontal="center" vertical="center" wrapText="1"/>
    </xf>
    <xf numFmtId="168" fontId="0" fillId="0" borderId="12" xfId="1" applyNumberFormat="1" applyFont="1" applyFill="1" applyBorder="1" applyAlignment="1">
      <alignment horizontal="center" vertical="center" wrapText="1"/>
    </xf>
    <xf numFmtId="0" fontId="0" fillId="0" borderId="1" xfId="0" applyBorder="1" applyAlignment="1">
      <alignment horizontal="center" vertical="center" wrapText="1"/>
    </xf>
    <xf numFmtId="9" fontId="5" fillId="0" borderId="1" xfId="0" applyNumberFormat="1" applyFont="1" applyBorder="1" applyAlignment="1">
      <alignment horizontal="center" vertical="center" wrapText="1"/>
    </xf>
    <xf numFmtId="9" fontId="5" fillId="0" borderId="1" xfId="1" applyNumberFormat="1" applyFont="1" applyFill="1" applyBorder="1" applyAlignment="1">
      <alignment horizontal="center" vertical="center" wrapText="1"/>
    </xf>
    <xf numFmtId="165" fontId="5" fillId="0" borderId="1" xfId="1" applyFont="1" applyFill="1" applyBorder="1" applyAlignment="1">
      <alignment horizontal="center" vertical="center" wrapText="1"/>
    </xf>
    <xf numFmtId="0" fontId="0" fillId="7" borderId="11" xfId="0" applyFill="1" applyBorder="1" applyAlignment="1">
      <alignment horizontal="center" vertical="center" wrapText="1"/>
    </xf>
    <xf numFmtId="168" fontId="0" fillId="0" borderId="52" xfId="1" applyNumberFormat="1" applyFont="1" applyFill="1" applyBorder="1" applyAlignment="1">
      <alignment horizontal="center" vertical="center" wrapText="1"/>
    </xf>
    <xf numFmtId="168" fontId="0" fillId="0" borderId="2" xfId="1" applyNumberFormat="1" applyFont="1" applyFill="1" applyBorder="1" applyAlignment="1">
      <alignment horizontal="center" vertical="center" wrapText="1"/>
    </xf>
    <xf numFmtId="168" fontId="0" fillId="0" borderId="3" xfId="1" applyNumberFormat="1" applyFont="1" applyFill="1" applyBorder="1" applyAlignment="1">
      <alignment horizontal="center" vertical="center" wrapText="1"/>
    </xf>
    <xf numFmtId="168" fontId="0" fillId="0" borderId="53" xfId="1" applyNumberFormat="1" applyFont="1" applyFill="1" applyBorder="1" applyAlignment="1">
      <alignment horizontal="center" vertical="center" wrapText="1"/>
    </xf>
    <xf numFmtId="168" fontId="0" fillId="0" borderId="1" xfId="1" applyNumberFormat="1" applyFont="1" applyFill="1" applyBorder="1" applyAlignment="1">
      <alignment horizontal="center" vertical="center" wrapText="1"/>
    </xf>
    <xf numFmtId="168" fontId="0" fillId="0" borderId="4" xfId="1" applyNumberFormat="1" applyFont="1" applyFill="1" applyBorder="1" applyAlignment="1">
      <alignment horizontal="center" vertical="center" wrapText="1"/>
    </xf>
    <xf numFmtId="168" fontId="0" fillId="0" borderId="54" xfId="1" applyNumberFormat="1" applyFont="1" applyFill="1" applyBorder="1" applyAlignment="1">
      <alignment horizontal="center" vertical="center" wrapText="1"/>
    </xf>
    <xf numFmtId="165" fontId="5" fillId="0" borderId="33" xfId="1" applyFont="1" applyFill="1" applyBorder="1" applyAlignment="1">
      <alignment horizontal="center" vertical="center" wrapText="1"/>
    </xf>
    <xf numFmtId="165" fontId="5" fillId="0" borderId="32" xfId="1" applyFont="1" applyFill="1" applyBorder="1" applyAlignment="1">
      <alignment horizontal="center" vertical="center" wrapText="1"/>
    </xf>
    <xf numFmtId="165" fontId="5" fillId="0" borderId="7" xfId="1" applyFont="1" applyFill="1" applyBorder="1" applyAlignment="1">
      <alignment horizontal="center" vertical="center" wrapText="1"/>
    </xf>
    <xf numFmtId="166" fontId="0" fillId="0" borderId="11" xfId="1" applyNumberFormat="1" applyFont="1" applyBorder="1" applyAlignment="1">
      <alignment horizontal="center"/>
    </xf>
    <xf numFmtId="165" fontId="5" fillId="0" borderId="11" xfId="1" applyFont="1" applyFill="1" applyBorder="1" applyAlignment="1">
      <alignment vertical="center" wrapText="1"/>
    </xf>
    <xf numFmtId="0" fontId="2" fillId="0" borderId="11" xfId="0" applyFont="1" applyBorder="1" applyAlignment="1">
      <alignment horizontal="center" vertical="center" wrapText="1"/>
    </xf>
    <xf numFmtId="166" fontId="5" fillId="0" borderId="30" xfId="1" applyNumberFormat="1" applyFont="1" applyBorder="1" applyAlignment="1">
      <alignment horizontal="center" vertical="center" wrapText="1"/>
    </xf>
    <xf numFmtId="165" fontId="5" fillId="0" borderId="2" xfId="1" applyFont="1" applyFill="1" applyBorder="1" applyAlignment="1">
      <alignment vertical="center" wrapText="1"/>
    </xf>
    <xf numFmtId="166" fontId="5" fillId="8" borderId="1" xfId="1" applyNumberFormat="1" applyFont="1" applyFill="1" applyBorder="1" applyAlignment="1">
      <alignment horizontal="center" vertical="center" wrapText="1"/>
    </xf>
    <xf numFmtId="165" fontId="5" fillId="0" borderId="1" xfId="1" applyFont="1" applyFill="1" applyBorder="1" applyAlignment="1">
      <alignment vertical="center" wrapText="1"/>
    </xf>
    <xf numFmtId="166" fontId="5" fillId="0" borderId="1" xfId="1"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10" fontId="5" fillId="0" borderId="1" xfId="1" applyNumberFormat="1" applyFont="1" applyFill="1" applyBorder="1" applyAlignment="1">
      <alignment horizontal="center" vertical="center" wrapText="1"/>
    </xf>
    <xf numFmtId="0" fontId="16" fillId="0" borderId="65" xfId="0" applyFont="1" applyBorder="1" applyAlignment="1">
      <alignment horizontal="left" vertical="center" wrapText="1"/>
    </xf>
    <xf numFmtId="0" fontId="5" fillId="0" borderId="4" xfId="0" applyFont="1" applyBorder="1" applyAlignment="1">
      <alignment horizontal="center" vertical="center" wrapText="1"/>
    </xf>
    <xf numFmtId="167" fontId="5" fillId="0" borderId="1" xfId="2" applyNumberFormat="1" applyFont="1" applyFill="1" applyBorder="1" applyAlignment="1">
      <alignment horizontal="center" vertical="center" wrapText="1"/>
    </xf>
    <xf numFmtId="167" fontId="5" fillId="0" borderId="4" xfId="2" applyNumberFormat="1" applyFont="1" applyFill="1" applyBorder="1" applyAlignment="1">
      <alignment horizontal="center" vertical="center" wrapText="1"/>
    </xf>
    <xf numFmtId="167" fontId="5" fillId="0" borderId="4" xfId="0" applyNumberFormat="1" applyFont="1" applyBorder="1" applyAlignment="1">
      <alignment horizontal="center" vertical="center" wrapText="1"/>
    </xf>
    <xf numFmtId="0" fontId="5" fillId="5" borderId="11" xfId="0" applyFont="1" applyFill="1" applyBorder="1" applyAlignment="1">
      <alignment horizontal="center" vertical="center" wrapText="1"/>
    </xf>
    <xf numFmtId="0" fontId="13" fillId="0" borderId="72" xfId="0" applyFont="1" applyBorder="1" applyAlignment="1">
      <alignment horizontal="left" vertical="top" wrapText="1"/>
    </xf>
    <xf numFmtId="0" fontId="0" fillId="0" borderId="1" xfId="0" applyBorder="1" applyAlignment="1">
      <alignment horizontal="left" vertical="center"/>
    </xf>
    <xf numFmtId="9" fontId="24" fillId="12" borderId="30" xfId="2" applyFont="1" applyFill="1" applyBorder="1" applyAlignment="1">
      <alignment horizontal="center" vertical="center" wrapText="1"/>
    </xf>
    <xf numFmtId="9" fontId="24" fillId="12" borderId="29" xfId="2" applyFont="1" applyFill="1" applyBorder="1" applyAlignment="1">
      <alignment horizontal="center" vertical="center" wrapText="1"/>
    </xf>
    <xf numFmtId="9" fontId="24" fillId="12" borderId="31" xfId="2" applyFont="1" applyFill="1" applyBorder="1" applyAlignment="1">
      <alignment horizontal="center" vertical="center" wrapText="1"/>
    </xf>
    <xf numFmtId="9" fontId="18" fillId="12" borderId="30" xfId="2" applyFont="1" applyFill="1" applyBorder="1" applyAlignment="1">
      <alignment horizontal="center" vertical="center" wrapText="1"/>
    </xf>
    <xf numFmtId="9" fontId="18" fillId="12" borderId="29" xfId="2" applyFont="1" applyFill="1" applyBorder="1" applyAlignment="1">
      <alignment horizontal="center" vertical="center" wrapText="1"/>
    </xf>
    <xf numFmtId="9" fontId="18" fillId="12" borderId="31" xfId="2" applyFont="1" applyFill="1" applyBorder="1" applyAlignment="1">
      <alignment horizontal="center" vertical="center" wrapText="1"/>
    </xf>
    <xf numFmtId="9" fontId="0" fillId="0" borderId="30" xfId="0" applyNumberFormat="1" applyBorder="1" applyAlignment="1">
      <alignment horizontal="center" vertical="center" wrapText="1"/>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2" xfId="0" applyBorder="1" applyAlignment="1">
      <alignment horizontal="left" vertical="center"/>
    </xf>
    <xf numFmtId="0" fontId="2" fillId="0" borderId="68"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66" xfId="0" applyFont="1" applyBorder="1" applyAlignment="1">
      <alignment horizontal="center" vertical="center" wrapText="1"/>
    </xf>
    <xf numFmtId="0" fontId="2" fillId="0" borderId="69" xfId="0" applyFont="1" applyBorder="1" applyAlignment="1">
      <alignment horizontal="center" vertical="center" wrapText="1"/>
    </xf>
    <xf numFmtId="0" fontId="2" fillId="0" borderId="70" xfId="0" applyFont="1" applyBorder="1" applyAlignment="1">
      <alignment horizontal="center" vertical="center" wrapText="1"/>
    </xf>
    <xf numFmtId="9" fontId="29" fillId="0" borderId="32" xfId="2" applyFont="1" applyFill="1" applyBorder="1" applyAlignment="1">
      <alignment horizontal="center" vertical="center" wrapText="1"/>
    </xf>
    <xf numFmtId="9" fontId="29" fillId="0" borderId="41" xfId="2" applyFont="1" applyFill="1" applyBorder="1" applyAlignment="1">
      <alignment horizontal="center" vertical="center" wrapText="1"/>
    </xf>
    <xf numFmtId="9" fontId="29" fillId="0" borderId="14" xfId="2" applyFont="1" applyFill="1" applyBorder="1" applyAlignment="1">
      <alignment horizontal="center" vertical="center" wrapText="1"/>
    </xf>
    <xf numFmtId="9" fontId="29" fillId="0" borderId="63" xfId="2" applyFont="1" applyFill="1" applyBorder="1" applyAlignment="1">
      <alignment horizontal="center" vertical="center" wrapText="1"/>
    </xf>
    <xf numFmtId="9" fontId="29" fillId="0" borderId="34" xfId="2" applyFont="1" applyFill="1" applyBorder="1" applyAlignment="1">
      <alignment horizontal="center" vertical="center" wrapText="1"/>
    </xf>
    <xf numFmtId="0" fontId="0" fillId="8" borderId="24" xfId="0" applyFill="1" applyBorder="1" applyAlignment="1">
      <alignment horizontal="center" vertical="center" wrapText="1"/>
    </xf>
    <xf numFmtId="0" fontId="0" fillId="8" borderId="2" xfId="0" applyFill="1" applyBorder="1" applyAlignment="1">
      <alignment horizontal="center" vertical="center" wrapText="1"/>
    </xf>
    <xf numFmtId="0" fontId="0" fillId="8" borderId="1" xfId="0" applyFill="1" applyBorder="1" applyAlignment="1">
      <alignment horizontal="center" vertical="center" wrapText="1"/>
    </xf>
    <xf numFmtId="0" fontId="0" fillId="8" borderId="4"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11" xfId="0" applyFill="1" applyBorder="1" applyAlignment="1">
      <alignment horizontal="center" vertical="center" wrapText="1"/>
    </xf>
    <xf numFmtId="9" fontId="0" fillId="8" borderId="58" xfId="0" applyNumberFormat="1" applyFill="1" applyBorder="1" applyAlignment="1">
      <alignment horizontal="center" vertical="center" wrapText="1"/>
    </xf>
    <xf numFmtId="9" fontId="0" fillId="8" borderId="61" xfId="0" applyNumberFormat="1" applyFill="1" applyBorder="1" applyAlignment="1">
      <alignment horizontal="center" vertical="center" wrapText="1"/>
    </xf>
    <xf numFmtId="166" fontId="10" fillId="8" borderId="45" xfId="1" applyNumberFormat="1" applyFont="1" applyFill="1" applyBorder="1" applyAlignment="1">
      <alignment horizontal="center" vertical="center"/>
    </xf>
    <xf numFmtId="166" fontId="10" fillId="8" borderId="29" xfId="1" applyNumberFormat="1" applyFont="1" applyFill="1" applyBorder="1" applyAlignment="1">
      <alignment horizontal="center" vertical="center"/>
    </xf>
    <xf numFmtId="166" fontId="10" fillId="8" borderId="31" xfId="1" applyNumberFormat="1" applyFont="1" applyFill="1" applyBorder="1" applyAlignment="1">
      <alignment horizontal="center" vertical="center"/>
    </xf>
    <xf numFmtId="9" fontId="7" fillId="8" borderId="2" xfId="2" applyFont="1" applyFill="1" applyBorder="1" applyAlignment="1">
      <alignment horizontal="center" vertical="center" wrapText="1"/>
    </xf>
    <xf numFmtId="9" fontId="0" fillId="8" borderId="42" xfId="0" applyNumberFormat="1" applyFill="1" applyBorder="1" applyAlignment="1">
      <alignment horizontal="center" vertical="center" wrapText="1"/>
    </xf>
    <xf numFmtId="0" fontId="0" fillId="8" borderId="41" xfId="0" applyFill="1" applyBorder="1" applyAlignment="1">
      <alignment horizontal="center" vertical="center" wrapText="1"/>
    </xf>
    <xf numFmtId="0" fontId="0" fillId="8" borderId="43" xfId="0" applyFill="1" applyBorder="1" applyAlignment="1">
      <alignment horizontal="center" vertical="center" wrapText="1"/>
    </xf>
    <xf numFmtId="9" fontId="7" fillId="0" borderId="7" xfId="2" applyFont="1" applyFill="1" applyBorder="1" applyAlignment="1">
      <alignment horizontal="center" vertical="center" wrapText="1"/>
    </xf>
    <xf numFmtId="9" fontId="7" fillId="0" borderId="1" xfId="2" applyFont="1" applyFill="1" applyBorder="1" applyAlignment="1">
      <alignment horizontal="center" vertical="center" wrapText="1"/>
    </xf>
    <xf numFmtId="9" fontId="0" fillId="0" borderId="33" xfId="0" applyNumberFormat="1" applyBorder="1" applyAlignment="1">
      <alignment horizontal="center" vertical="center" wrapText="1"/>
    </xf>
    <xf numFmtId="0" fontId="0" fillId="8" borderId="12" xfId="0" applyFill="1" applyBorder="1" applyAlignment="1">
      <alignment horizontal="center" vertical="center" wrapText="1"/>
    </xf>
    <xf numFmtId="9" fontId="0" fillId="0" borderId="24" xfId="0" applyNumberFormat="1" applyBorder="1" applyAlignment="1">
      <alignment horizontal="center" vertical="center" wrapText="1"/>
    </xf>
    <xf numFmtId="9" fontId="0" fillId="8" borderId="2" xfId="0" applyNumberFormat="1" applyFill="1" applyBorder="1" applyAlignment="1">
      <alignment horizontal="center" vertical="center" wrapText="1"/>
    </xf>
    <xf numFmtId="0" fontId="0" fillId="8" borderId="3" xfId="0" applyFill="1" applyBorder="1" applyAlignment="1">
      <alignment horizontal="center" vertical="center" wrapText="1"/>
    </xf>
    <xf numFmtId="9" fontId="0" fillId="0" borderId="1" xfId="0" applyNumberFormat="1" applyBorder="1" applyAlignment="1">
      <alignment horizontal="center" vertical="center" wrapText="1"/>
    </xf>
    <xf numFmtId="0" fontId="0" fillId="0" borderId="4" xfId="0" applyBorder="1" applyAlignment="1">
      <alignment horizontal="center" vertical="center" wrapText="1"/>
    </xf>
    <xf numFmtId="9" fontId="0" fillId="8" borderId="32" xfId="0" applyNumberFormat="1" applyFill="1" applyBorder="1" applyAlignment="1">
      <alignment horizontal="center" vertical="center" wrapText="1"/>
    </xf>
    <xf numFmtId="9" fontId="0" fillId="8" borderId="34" xfId="0" applyNumberFormat="1" applyFill="1" applyBorder="1" applyAlignment="1">
      <alignment horizontal="center" vertical="center" wrapText="1"/>
    </xf>
    <xf numFmtId="9" fontId="0" fillId="0" borderId="32" xfId="0" applyNumberFormat="1" applyBorder="1" applyAlignment="1">
      <alignment horizontal="center" vertical="center" wrapText="1"/>
    </xf>
    <xf numFmtId="9" fontId="0" fillId="0" borderId="7" xfId="0" applyNumberFormat="1" applyBorder="1" applyAlignment="1">
      <alignment horizontal="center" vertical="center" wrapText="1"/>
    </xf>
    <xf numFmtId="0" fontId="2" fillId="0" borderId="72" xfId="0" applyFont="1" applyBorder="1" applyAlignment="1">
      <alignment horizontal="center" vertical="center" wrapText="1"/>
    </xf>
    <xf numFmtId="0" fontId="2" fillId="0" borderId="73" xfId="0" applyFont="1" applyBorder="1" applyAlignment="1">
      <alignment horizontal="center" vertical="center" wrapText="1"/>
    </xf>
    <xf numFmtId="9" fontId="0" fillId="0" borderId="35" xfId="0" applyNumberFormat="1" applyBorder="1" applyAlignment="1">
      <alignment horizontal="center" vertical="center" wrapText="1"/>
    </xf>
    <xf numFmtId="9" fontId="0" fillId="0" borderId="22" xfId="0" applyNumberFormat="1" applyBorder="1" applyAlignment="1">
      <alignment horizontal="center" vertical="center" wrapText="1"/>
    </xf>
    <xf numFmtId="9" fontId="10" fillId="0" borderId="36" xfId="0" applyNumberFormat="1" applyFont="1" applyBorder="1" applyAlignment="1">
      <alignment horizontal="center" vertical="center" wrapText="1"/>
    </xf>
    <xf numFmtId="0" fontId="10" fillId="0" borderId="35" xfId="0" applyFont="1" applyBorder="1" applyAlignment="1">
      <alignment horizontal="center" vertical="center" wrapText="1"/>
    </xf>
    <xf numFmtId="0" fontId="10" fillId="0" borderId="37" xfId="0" applyFont="1" applyBorder="1" applyAlignment="1">
      <alignment horizontal="center" vertical="center" wrapText="1"/>
    </xf>
    <xf numFmtId="20" fontId="0" fillId="0" borderId="32" xfId="0" applyNumberFormat="1" applyBorder="1" applyAlignment="1">
      <alignment horizontal="center" vertical="center" wrapText="1"/>
    </xf>
    <xf numFmtId="20" fontId="0" fillId="0" borderId="7" xfId="0" applyNumberFormat="1" applyBorder="1" applyAlignment="1">
      <alignment horizontal="center" vertical="center" wrapText="1"/>
    </xf>
    <xf numFmtId="20" fontId="0" fillId="0" borderId="1" xfId="0" applyNumberFormat="1" applyBorder="1" applyAlignment="1">
      <alignment horizontal="center" vertical="center" wrapText="1"/>
    </xf>
    <xf numFmtId="0" fontId="2" fillId="0" borderId="56" xfId="0" applyFont="1" applyBorder="1" applyAlignment="1">
      <alignment horizontal="center" vertical="center" wrapText="1"/>
    </xf>
    <xf numFmtId="166" fontId="29" fillId="8" borderId="44" xfId="1" applyNumberFormat="1" applyFont="1" applyFill="1" applyBorder="1" applyAlignment="1">
      <alignment horizontal="center" vertical="center" wrapText="1"/>
    </xf>
    <xf numFmtId="166" fontId="29" fillId="8" borderId="32" xfId="1" applyNumberFormat="1" applyFont="1" applyFill="1" applyBorder="1" applyAlignment="1">
      <alignment horizontal="center" vertical="center" wrapText="1"/>
    </xf>
    <xf numFmtId="166" fontId="29" fillId="8" borderId="7" xfId="1" applyNumberFormat="1" applyFont="1" applyFill="1" applyBorder="1" applyAlignment="1">
      <alignment horizontal="center" vertical="center" wrapText="1"/>
    </xf>
    <xf numFmtId="0" fontId="21" fillId="8" borderId="33" xfId="0" applyFont="1" applyFill="1" applyBorder="1" applyAlignment="1">
      <alignment horizontal="center" vertical="center" wrapText="1"/>
    </xf>
    <xf numFmtId="0" fontId="21" fillId="8" borderId="32" xfId="0" applyFont="1" applyFill="1" applyBorder="1" applyAlignment="1">
      <alignment horizontal="center" vertical="center" wrapText="1"/>
    </xf>
    <xf numFmtId="0" fontId="21" fillId="8" borderId="34" xfId="0" applyFont="1" applyFill="1" applyBorder="1" applyAlignment="1">
      <alignment horizontal="center" vertical="center" wrapText="1"/>
    </xf>
    <xf numFmtId="9" fontId="1" fillId="8" borderId="35" xfId="0" applyNumberFormat="1" applyFont="1" applyFill="1" applyBorder="1" applyAlignment="1">
      <alignment horizontal="center" vertical="center" wrapText="1"/>
    </xf>
    <xf numFmtId="9" fontId="1" fillId="8" borderId="22" xfId="0" applyNumberFormat="1" applyFont="1" applyFill="1" applyBorder="1" applyAlignment="1">
      <alignment horizontal="center" vertical="center" wrapText="1"/>
    </xf>
    <xf numFmtId="9" fontId="17" fillId="8" borderId="36" xfId="0" applyNumberFormat="1" applyFont="1" applyFill="1" applyBorder="1" applyAlignment="1">
      <alignment horizontal="center" vertical="center" wrapText="1"/>
    </xf>
    <xf numFmtId="9" fontId="17" fillId="8" borderId="35" xfId="0" applyNumberFormat="1" applyFont="1" applyFill="1" applyBorder="1" applyAlignment="1">
      <alignment horizontal="center" vertical="center" wrapText="1"/>
    </xf>
    <xf numFmtId="9" fontId="17" fillId="8" borderId="37" xfId="0" applyNumberFormat="1" applyFont="1" applyFill="1" applyBorder="1" applyAlignment="1">
      <alignment horizontal="center" vertical="center" wrapText="1"/>
    </xf>
    <xf numFmtId="10" fontId="0" fillId="0" borderId="24" xfId="0" applyNumberFormat="1" applyBorder="1" applyAlignment="1">
      <alignment horizontal="center" vertical="center" wrapText="1"/>
    </xf>
    <xf numFmtId="0" fontId="0" fillId="0" borderId="3" xfId="0" applyBorder="1" applyAlignment="1">
      <alignment horizontal="center" vertical="center" wrapText="1"/>
    </xf>
    <xf numFmtId="9" fontId="7" fillId="8" borderId="35" xfId="2" applyFont="1" applyFill="1" applyBorder="1" applyAlignment="1">
      <alignment horizontal="center" vertical="center" wrapText="1"/>
    </xf>
    <xf numFmtId="9" fontId="7" fillId="8" borderId="22" xfId="2" applyFont="1" applyFill="1" applyBorder="1" applyAlignment="1">
      <alignment horizontal="center" vertical="center" wrapText="1"/>
    </xf>
    <xf numFmtId="20" fontId="0" fillId="0" borderId="22" xfId="0" applyNumberFormat="1" applyBorder="1" applyAlignment="1">
      <alignment horizontal="center" vertical="center" wrapText="1"/>
    </xf>
    <xf numFmtId="20" fontId="0" fillId="0" borderId="11" xfId="0" applyNumberFormat="1" applyBorder="1" applyAlignment="1">
      <alignment horizontal="center" vertical="center" wrapText="1"/>
    </xf>
    <xf numFmtId="9" fontId="7" fillId="8" borderId="1" xfId="2" applyFont="1" applyFill="1" applyBorder="1" applyAlignment="1">
      <alignment horizontal="center" vertical="center" wrapText="1"/>
    </xf>
    <xf numFmtId="9" fontId="0" fillId="8" borderId="33" xfId="0" applyNumberFormat="1" applyFill="1" applyBorder="1" applyAlignment="1">
      <alignment horizontal="center" vertical="center" wrapText="1"/>
    </xf>
    <xf numFmtId="0" fontId="0" fillId="8" borderId="32" xfId="0" applyFill="1" applyBorder="1" applyAlignment="1">
      <alignment horizontal="center" vertical="center" wrapText="1"/>
    </xf>
    <xf numFmtId="0" fontId="0" fillId="8" borderId="34" xfId="0" applyFill="1" applyBorder="1" applyAlignment="1">
      <alignment horizontal="center" vertical="center" wrapText="1"/>
    </xf>
    <xf numFmtId="165" fontId="29" fillId="0" borderId="32" xfId="1" applyFont="1" applyFill="1" applyBorder="1" applyAlignment="1">
      <alignment horizontal="center" vertical="center" wrapText="1"/>
    </xf>
    <xf numFmtId="165" fontId="29" fillId="0" borderId="34" xfId="1" applyFont="1" applyFill="1" applyBorder="1" applyAlignment="1">
      <alignment horizontal="center" vertical="center" wrapText="1"/>
    </xf>
    <xf numFmtId="9" fontId="0" fillId="0" borderId="34" xfId="0" applyNumberFormat="1" applyBorder="1" applyAlignment="1">
      <alignment horizontal="center" vertical="center" wrapText="1"/>
    </xf>
    <xf numFmtId="9" fontId="17" fillId="8" borderId="29" xfId="0" applyNumberFormat="1" applyFont="1" applyFill="1" applyBorder="1" applyAlignment="1">
      <alignment horizontal="center" vertical="center" wrapText="1"/>
    </xf>
    <xf numFmtId="9" fontId="17" fillId="8" borderId="31" xfId="0" applyNumberFormat="1" applyFont="1" applyFill="1" applyBorder="1" applyAlignment="1">
      <alignment horizontal="center" vertical="center" wrapText="1"/>
    </xf>
    <xf numFmtId="1" fontId="5" fillId="8" borderId="35" xfId="0" applyNumberFormat="1" applyFont="1" applyFill="1" applyBorder="1" applyAlignment="1">
      <alignment horizontal="center" vertical="center" wrapText="1"/>
    </xf>
    <xf numFmtId="1" fontId="5" fillId="8" borderId="22" xfId="0" applyNumberFormat="1" applyFont="1" applyFill="1" applyBorder="1" applyAlignment="1">
      <alignment horizontal="center" vertical="center" wrapText="1"/>
    </xf>
    <xf numFmtId="1" fontId="5" fillId="8" borderId="36" xfId="0" applyNumberFormat="1" applyFont="1" applyFill="1" applyBorder="1" applyAlignment="1">
      <alignment horizontal="center" vertical="center" wrapText="1"/>
    </xf>
    <xf numFmtId="9" fontId="0" fillId="0" borderId="29" xfId="0" applyNumberFormat="1" applyBorder="1" applyAlignment="1">
      <alignment horizontal="center" vertical="center" wrapText="1"/>
    </xf>
    <xf numFmtId="9" fontId="0" fillId="0" borderId="31" xfId="0" applyNumberFormat="1" applyBorder="1" applyAlignment="1">
      <alignment horizontal="center" vertical="center" wrapText="1"/>
    </xf>
    <xf numFmtId="20" fontId="0" fillId="0" borderId="2" xfId="0" applyNumberFormat="1" applyBorder="1" applyAlignment="1">
      <alignment horizontal="center" vertical="center" wrapText="1"/>
    </xf>
    <xf numFmtId="9" fontId="0" fillId="0" borderId="42" xfId="0" applyNumberFormat="1" applyBorder="1" applyAlignment="1">
      <alignment horizontal="center" vertical="center" wrapText="1"/>
    </xf>
    <xf numFmtId="0" fontId="0" fillId="0" borderId="41" xfId="0" applyBorder="1" applyAlignment="1">
      <alignment horizontal="center" vertical="center" wrapText="1"/>
    </xf>
    <xf numFmtId="0" fontId="0" fillId="0" borderId="14" xfId="0" applyBorder="1" applyAlignment="1">
      <alignment horizontal="center" vertical="center" wrapText="1"/>
    </xf>
    <xf numFmtId="10" fontId="7" fillId="0" borderId="1" xfId="2" applyNumberFormat="1" applyFont="1" applyBorder="1" applyAlignment="1">
      <alignment horizontal="center" vertical="center" wrapText="1"/>
    </xf>
    <xf numFmtId="10" fontId="7" fillId="0" borderId="4" xfId="2" applyNumberFormat="1" applyFont="1" applyBorder="1" applyAlignment="1">
      <alignment horizontal="center" vertical="center" wrapText="1"/>
    </xf>
    <xf numFmtId="9" fontId="0" fillId="8" borderId="35" xfId="0" applyNumberFormat="1" applyFill="1" applyBorder="1" applyAlignment="1">
      <alignment horizontal="center" vertical="center" wrapText="1"/>
    </xf>
    <xf numFmtId="0" fontId="0" fillId="8" borderId="35" xfId="0" applyFill="1" applyBorder="1" applyAlignment="1">
      <alignment horizontal="center" vertical="center" wrapText="1"/>
    </xf>
    <xf numFmtId="0" fontId="0" fillId="8" borderId="37" xfId="0" applyFill="1" applyBorder="1" applyAlignment="1">
      <alignment horizontal="center" vertical="center" wrapText="1"/>
    </xf>
    <xf numFmtId="9" fontId="7" fillId="0" borderId="33" xfId="2" applyFont="1" applyFill="1" applyBorder="1" applyAlignment="1">
      <alignment horizontal="center" vertical="center" wrapText="1"/>
    </xf>
    <xf numFmtId="9" fontId="7" fillId="0" borderId="32" xfId="2" applyFont="1" applyFill="1" applyBorder="1" applyAlignment="1">
      <alignment horizontal="center" vertical="center" wrapText="1"/>
    </xf>
    <xf numFmtId="9" fontId="0" fillId="0" borderId="36" xfId="0" applyNumberFormat="1" applyBorder="1" applyAlignment="1">
      <alignment horizontal="center" vertical="center" wrapText="1"/>
    </xf>
    <xf numFmtId="0" fontId="0" fillId="0" borderId="35" xfId="0" applyBorder="1" applyAlignment="1">
      <alignment horizontal="center" vertical="center" wrapText="1"/>
    </xf>
    <xf numFmtId="0" fontId="0" fillId="0" borderId="22" xfId="0" applyBorder="1" applyAlignment="1">
      <alignment horizontal="center" vertical="center" wrapText="1"/>
    </xf>
    <xf numFmtId="9" fontId="7" fillId="0" borderId="29" xfId="2" applyFont="1" applyFill="1" applyBorder="1" applyAlignment="1">
      <alignment horizontal="center" vertical="center" wrapText="1"/>
    </xf>
    <xf numFmtId="9" fontId="7" fillId="0" borderId="24" xfId="2" applyFont="1" applyFill="1" applyBorder="1" applyAlignment="1">
      <alignment horizontal="center" vertical="center" wrapText="1"/>
    </xf>
    <xf numFmtId="0" fontId="0" fillId="0" borderId="29" xfId="0" applyBorder="1" applyAlignment="1">
      <alignment horizontal="center" vertical="center" wrapText="1"/>
    </xf>
    <xf numFmtId="0" fontId="0" fillId="0" borderId="31" xfId="0" applyBorder="1" applyAlignment="1">
      <alignment horizontal="center" vertical="center" wrapText="1"/>
    </xf>
    <xf numFmtId="9" fontId="7" fillId="0" borderId="35" xfId="2" applyFont="1" applyFill="1" applyBorder="1" applyAlignment="1">
      <alignment horizontal="center" vertical="center" wrapText="1"/>
    </xf>
    <xf numFmtId="9" fontId="7" fillId="0" borderId="37" xfId="2" applyFont="1" applyFill="1" applyBorder="1" applyAlignment="1">
      <alignment horizontal="center" vertical="center" wrapText="1"/>
    </xf>
    <xf numFmtId="9" fontId="7" fillId="0" borderId="34" xfId="2" applyFont="1" applyFill="1" applyBorder="1" applyAlignment="1">
      <alignment horizontal="center" vertical="center" wrapText="1"/>
    </xf>
    <xf numFmtId="0" fontId="0" fillId="0" borderId="37" xfId="0" applyBorder="1" applyAlignment="1">
      <alignment horizontal="center" vertical="center" wrapText="1"/>
    </xf>
    <xf numFmtId="9" fontId="7" fillId="8" borderId="33" xfId="2" applyFont="1" applyFill="1" applyBorder="1" applyAlignment="1">
      <alignment horizontal="center" vertical="center" wrapText="1"/>
    </xf>
    <xf numFmtId="9" fontId="7" fillId="8" borderId="32" xfId="2" applyFont="1" applyFill="1" applyBorder="1" applyAlignment="1">
      <alignment horizontal="center" vertical="center" wrapText="1"/>
    </xf>
    <xf numFmtId="9" fontId="7" fillId="8" borderId="34" xfId="2" applyFont="1" applyFill="1" applyBorder="1" applyAlignment="1">
      <alignment horizontal="center" vertical="center" wrapText="1"/>
    </xf>
    <xf numFmtId="9" fontId="0" fillId="0" borderId="46" xfId="0" applyNumberFormat="1" applyBorder="1" applyAlignment="1">
      <alignment horizontal="center" vertical="center" wrapText="1"/>
    </xf>
    <xf numFmtId="9" fontId="0" fillId="0" borderId="37" xfId="0" applyNumberFormat="1" applyBorder="1" applyAlignment="1">
      <alignment horizontal="center" vertical="center" wrapText="1"/>
    </xf>
    <xf numFmtId="43" fontId="29" fillId="0" borderId="35" xfId="1" applyNumberFormat="1" applyFont="1" applyFill="1" applyBorder="1" applyAlignment="1">
      <alignment horizontal="center" vertical="center" wrapText="1"/>
    </xf>
    <xf numFmtId="43" fontId="29" fillId="0" borderId="37" xfId="1" applyNumberFormat="1" applyFont="1" applyFill="1" applyBorder="1" applyAlignment="1">
      <alignment horizontal="center" vertical="center" wrapText="1"/>
    </xf>
    <xf numFmtId="20" fontId="0" fillId="0" borderId="34" xfId="0" applyNumberFormat="1" applyBorder="1" applyAlignment="1">
      <alignment horizontal="center" vertical="center" wrapText="1"/>
    </xf>
    <xf numFmtId="20" fontId="0" fillId="0" borderId="4" xfId="0" applyNumberFormat="1" applyBorder="1" applyAlignment="1">
      <alignment horizontal="center" vertical="center" wrapText="1"/>
    </xf>
    <xf numFmtId="20" fontId="0" fillId="0" borderId="12" xfId="0" applyNumberFormat="1" applyBorder="1" applyAlignment="1">
      <alignment horizontal="center" vertical="center" wrapText="1"/>
    </xf>
    <xf numFmtId="9" fontId="7" fillId="0" borderId="18" xfId="2" applyFont="1" applyFill="1" applyBorder="1" applyAlignment="1">
      <alignment horizontal="center" vertical="center" wrapText="1"/>
    </xf>
    <xf numFmtId="9" fontId="7" fillId="0" borderId="19" xfId="2" applyFont="1" applyFill="1" applyBorder="1" applyAlignment="1">
      <alignment horizontal="center" vertical="center" wrapText="1"/>
    </xf>
    <xf numFmtId="9" fontId="7" fillId="0" borderId="21" xfId="2" applyFont="1" applyFill="1" applyBorder="1" applyAlignment="1">
      <alignment horizontal="center" vertical="center" wrapText="1"/>
    </xf>
    <xf numFmtId="0" fontId="5" fillId="0" borderId="52" xfId="0" applyFont="1" applyBorder="1" applyAlignment="1">
      <alignment horizontal="center"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wrapText="1"/>
    </xf>
    <xf numFmtId="10" fontId="0" fillId="0" borderId="32" xfId="0" applyNumberFormat="1" applyBorder="1" applyAlignment="1">
      <alignment horizontal="center" vertical="center" wrapText="1"/>
    </xf>
    <xf numFmtId="10" fontId="0" fillId="0" borderId="7" xfId="0" applyNumberFormat="1" applyBorder="1" applyAlignment="1">
      <alignment horizontal="center" vertical="center" wrapText="1"/>
    </xf>
    <xf numFmtId="10" fontId="0" fillId="0" borderId="33" xfId="0" applyNumberFormat="1" applyBorder="1" applyAlignment="1">
      <alignment horizontal="center" vertical="center" wrapText="1"/>
    </xf>
    <xf numFmtId="1" fontId="0" fillId="0" borderId="35" xfId="0" quotePrefix="1" applyNumberFormat="1" applyBorder="1" applyAlignment="1">
      <alignment horizontal="center" vertical="center" wrapText="1"/>
    </xf>
    <xf numFmtId="1" fontId="0" fillId="0" borderId="22" xfId="0" quotePrefix="1" applyNumberFormat="1" applyBorder="1" applyAlignment="1">
      <alignment horizontal="center" vertical="center" wrapText="1"/>
    </xf>
    <xf numFmtId="1" fontId="0" fillId="0" borderId="33" xfId="0" quotePrefix="1" applyNumberFormat="1" applyBorder="1" applyAlignment="1">
      <alignment horizontal="center" vertical="center" wrapText="1"/>
    </xf>
    <xf numFmtId="1" fontId="0" fillId="0" borderId="32" xfId="0" quotePrefix="1" applyNumberFormat="1" applyBorder="1" applyAlignment="1">
      <alignment horizontal="center" vertical="center" wrapText="1"/>
    </xf>
    <xf numFmtId="1" fontId="0" fillId="0" borderId="7" xfId="0" quotePrefix="1" applyNumberFormat="1" applyBorder="1" applyAlignment="1">
      <alignment horizontal="center" vertical="center" wrapText="1"/>
    </xf>
    <xf numFmtId="0" fontId="2" fillId="0" borderId="75"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79" xfId="0" applyFont="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9" fontId="1" fillId="0" borderId="1" xfId="2" applyFont="1" applyFill="1" applyBorder="1" applyAlignment="1">
      <alignment horizontal="center" vertical="center" wrapText="1"/>
    </xf>
    <xf numFmtId="14" fontId="4" fillId="3" borderId="101" xfId="0" applyNumberFormat="1" applyFont="1" applyFill="1" applyBorder="1" applyAlignment="1">
      <alignment horizontal="center" vertical="center" wrapText="1"/>
    </xf>
    <xf numFmtId="14" fontId="4" fillId="3" borderId="102" xfId="0" applyNumberFormat="1" applyFont="1" applyFill="1" applyBorder="1" applyAlignment="1">
      <alignment horizontal="center" vertical="center" wrapText="1"/>
    </xf>
    <xf numFmtId="14" fontId="4" fillId="3" borderId="103" xfId="0" applyNumberFormat="1" applyFont="1" applyFill="1" applyBorder="1" applyAlignment="1">
      <alignment horizontal="center" vertical="center" wrapText="1"/>
    </xf>
    <xf numFmtId="14" fontId="4" fillId="3" borderId="104" xfId="0" applyNumberFormat="1" applyFont="1" applyFill="1" applyBorder="1" applyAlignment="1">
      <alignment horizontal="center" vertical="center" wrapText="1"/>
    </xf>
    <xf numFmtId="0" fontId="2" fillId="0" borderId="108" xfId="0" applyFont="1" applyBorder="1" applyAlignment="1">
      <alignment horizontal="center" vertical="center" wrapText="1"/>
    </xf>
    <xf numFmtId="0" fontId="2" fillId="0" borderId="94" xfId="0" applyFont="1" applyBorder="1" applyAlignment="1">
      <alignment horizontal="center" vertical="center" wrapText="1"/>
    </xf>
    <xf numFmtId="9" fontId="0" fillId="0" borderId="111" xfId="0" applyNumberFormat="1" applyBorder="1" applyAlignment="1">
      <alignment horizontal="center" vertical="center" wrapText="1"/>
    </xf>
    <xf numFmtId="0" fontId="0" fillId="0" borderId="109" xfId="0" applyBorder="1" applyAlignment="1">
      <alignment horizontal="center" vertical="center" wrapText="1"/>
    </xf>
    <xf numFmtId="0" fontId="0" fillId="0" borderId="112" xfId="0" applyBorder="1" applyAlignment="1">
      <alignment horizontal="center" vertical="center" wrapText="1"/>
    </xf>
    <xf numFmtId="9" fontId="0" fillId="0" borderId="1" xfId="2" applyFont="1" applyFill="1" applyBorder="1" applyAlignment="1">
      <alignment horizontal="center" vertical="center" wrapText="1"/>
    </xf>
    <xf numFmtId="9" fontId="0" fillId="0" borderId="78" xfId="2" applyFont="1" applyFill="1" applyBorder="1" applyAlignment="1">
      <alignment horizontal="center" vertical="center" wrapText="1"/>
    </xf>
    <xf numFmtId="9" fontId="0" fillId="0" borderId="11" xfId="2" applyFont="1" applyFill="1" applyBorder="1" applyAlignment="1">
      <alignment horizontal="center" vertical="center" wrapText="1"/>
    </xf>
    <xf numFmtId="9" fontId="1" fillId="0" borderId="78" xfId="2" applyFont="1" applyFill="1" applyBorder="1" applyAlignment="1">
      <alignment horizontal="center" vertical="center" wrapText="1"/>
    </xf>
    <xf numFmtId="9" fontId="0" fillId="8" borderId="24" xfId="0" applyNumberFormat="1" applyFill="1" applyBorder="1" applyAlignment="1">
      <alignment horizontal="center" vertical="center" wrapText="1"/>
    </xf>
    <xf numFmtId="9" fontId="0" fillId="8" borderId="7" xfId="0" applyNumberFormat="1" applyFill="1" applyBorder="1" applyAlignment="1">
      <alignment horizontal="center" vertical="center" wrapText="1"/>
    </xf>
    <xf numFmtId="0" fontId="0" fillId="0" borderId="27" xfId="0" applyBorder="1" applyAlignment="1">
      <alignment horizontal="center" vertical="center" wrapText="1"/>
    </xf>
    <xf numFmtId="0" fontId="0" fillId="0" borderId="47" xfId="0" applyBorder="1" applyAlignment="1">
      <alignment horizontal="center" vertical="center" wrapText="1"/>
    </xf>
    <xf numFmtId="9" fontId="0" fillId="0" borderId="11" xfId="0" applyNumberFormat="1" applyBorder="1" applyAlignment="1">
      <alignment horizontal="center" vertical="center" wrapText="1"/>
    </xf>
    <xf numFmtId="9" fontId="0" fillId="0" borderId="78" xfId="0" applyNumberFormat="1" applyBorder="1" applyAlignment="1">
      <alignment horizontal="center" vertical="center" wrapText="1"/>
    </xf>
    <xf numFmtId="9" fontId="1" fillId="0" borderId="7" xfId="0"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9" fontId="0" fillId="0" borderId="2" xfId="0" applyNumberFormat="1" applyBorder="1" applyAlignment="1">
      <alignment horizontal="center" vertical="center" wrapText="1"/>
    </xf>
    <xf numFmtId="9" fontId="0" fillId="0" borderId="76" xfId="0" applyNumberFormat="1" applyBorder="1" applyAlignment="1">
      <alignment horizontal="center" vertical="center" wrapText="1"/>
    </xf>
    <xf numFmtId="9" fontId="29" fillId="0" borderId="7" xfId="2" applyFont="1" applyFill="1" applyBorder="1" applyAlignment="1">
      <alignment horizontal="center" vertical="center" wrapText="1"/>
    </xf>
    <xf numFmtId="9" fontId="29" fillId="0" borderId="1" xfId="2" applyFont="1" applyFill="1" applyBorder="1" applyAlignment="1">
      <alignment horizontal="center" vertical="center" wrapText="1"/>
    </xf>
    <xf numFmtId="165" fontId="29" fillId="0" borderId="7" xfId="1" applyFont="1" applyFill="1" applyBorder="1" applyAlignment="1">
      <alignment horizontal="center" vertical="center" wrapText="1"/>
    </xf>
    <xf numFmtId="165" fontId="29" fillId="0" borderId="1" xfId="1" applyFont="1" applyFill="1" applyBorder="1" applyAlignment="1">
      <alignment horizontal="center" vertical="center" wrapText="1"/>
    </xf>
    <xf numFmtId="165" fontId="29" fillId="0" borderId="78" xfId="1" applyFont="1" applyFill="1" applyBorder="1" applyAlignment="1">
      <alignment horizontal="center" vertical="center" wrapText="1"/>
    </xf>
    <xf numFmtId="9" fontId="29" fillId="0" borderId="78" xfId="2" applyFont="1" applyFill="1" applyBorder="1" applyAlignment="1">
      <alignment horizontal="center" vertical="center" wrapText="1"/>
    </xf>
    <xf numFmtId="43" fontId="29" fillId="0" borderId="22" xfId="1" applyNumberFormat="1" applyFont="1" applyFill="1" applyBorder="1" applyAlignment="1">
      <alignment vertical="center" wrapText="1"/>
    </xf>
    <xf numFmtId="43" fontId="29" fillId="0" borderId="11" xfId="1" applyNumberFormat="1" applyFont="1" applyFill="1" applyBorder="1" applyAlignment="1">
      <alignment vertical="center" wrapText="1"/>
    </xf>
    <xf numFmtId="43" fontId="29" fillId="0" borderId="80" xfId="1" applyNumberFormat="1" applyFont="1" applyFill="1" applyBorder="1" applyAlignment="1">
      <alignment vertical="center" wrapText="1"/>
    </xf>
    <xf numFmtId="1" fontId="0" fillId="0" borderId="91" xfId="0" quotePrefix="1" applyNumberFormat="1" applyBorder="1" applyAlignment="1">
      <alignment horizontal="center" vertical="center" wrapText="1"/>
    </xf>
    <xf numFmtId="1" fontId="0" fillId="0" borderId="92" xfId="0" quotePrefix="1" applyNumberFormat="1" applyBorder="1" applyAlignment="1">
      <alignment horizontal="center" vertical="center" wrapText="1"/>
    </xf>
    <xf numFmtId="1" fontId="0" fillId="0" borderId="93" xfId="0" quotePrefix="1" applyNumberFormat="1" applyBorder="1" applyAlignment="1">
      <alignment horizontal="center" vertical="center" wrapText="1"/>
    </xf>
    <xf numFmtId="0" fontId="0" fillId="0" borderId="91" xfId="0" applyBorder="1" applyAlignment="1">
      <alignment horizontal="center" vertical="center" wrapText="1"/>
    </xf>
    <xf numFmtId="0" fontId="0" fillId="0" borderId="92" xfId="0" applyBorder="1" applyAlignment="1">
      <alignment horizontal="center" vertical="center" wrapText="1"/>
    </xf>
    <xf numFmtId="0" fontId="0" fillId="0" borderId="116" xfId="0" applyBorder="1" applyAlignment="1">
      <alignment horizontal="center" vertical="center" wrapText="1"/>
    </xf>
    <xf numFmtId="0" fontId="1" fillId="0" borderId="1" xfId="0" applyFont="1" applyBorder="1" applyAlignment="1">
      <alignment horizontal="center" vertical="center" wrapText="1"/>
    </xf>
    <xf numFmtId="0" fontId="1" fillId="0" borderId="78" xfId="0" applyFont="1" applyBorder="1" applyAlignment="1">
      <alignment horizontal="center" vertical="center" wrapText="1"/>
    </xf>
    <xf numFmtId="10" fontId="17" fillId="8" borderId="33" xfId="2" applyNumberFormat="1" applyFont="1" applyFill="1" applyBorder="1" applyAlignment="1">
      <alignment horizontal="center" vertical="center" wrapText="1"/>
    </xf>
    <xf numFmtId="10" fontId="17" fillId="8" borderId="32" xfId="2" applyNumberFormat="1" applyFont="1" applyFill="1" applyBorder="1" applyAlignment="1">
      <alignment horizontal="center" vertical="center" wrapText="1"/>
    </xf>
    <xf numFmtId="10" fontId="17" fillId="8" borderId="82" xfId="2" applyNumberFormat="1" applyFont="1" applyFill="1" applyBorder="1" applyAlignment="1">
      <alignment horizontal="center" vertical="center" wrapText="1"/>
    </xf>
    <xf numFmtId="9" fontId="0" fillId="8" borderId="36" xfId="0" applyNumberFormat="1" applyFill="1" applyBorder="1" applyAlignment="1">
      <alignment horizontal="center" vertical="center" wrapText="1"/>
    </xf>
    <xf numFmtId="9" fontId="0" fillId="8" borderId="22" xfId="0" applyNumberFormat="1" applyFill="1" applyBorder="1" applyAlignment="1">
      <alignment horizontal="center" vertical="center" wrapText="1"/>
    </xf>
    <xf numFmtId="9" fontId="0" fillId="8" borderId="83" xfId="0" applyNumberFormat="1" applyFill="1" applyBorder="1" applyAlignment="1">
      <alignment horizontal="center" vertical="center" wrapText="1"/>
    </xf>
    <xf numFmtId="9" fontId="1" fillId="0" borderId="22"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80" xfId="0" applyFont="1" applyBorder="1" applyAlignment="1">
      <alignment horizontal="center" vertical="center" wrapText="1"/>
    </xf>
    <xf numFmtId="0" fontId="2" fillId="0" borderId="86" xfId="0" applyFont="1" applyBorder="1" applyAlignment="1">
      <alignment horizontal="center" vertical="center" wrapText="1"/>
    </xf>
    <xf numFmtId="0" fontId="2" fillId="0" borderId="87" xfId="0" applyFont="1" applyBorder="1" applyAlignment="1">
      <alignment horizontal="center" vertical="center" wrapText="1"/>
    </xf>
    <xf numFmtId="0" fontId="2" fillId="0" borderId="89" xfId="0" applyFont="1" applyBorder="1" applyAlignment="1">
      <alignment horizontal="center" vertical="center" wrapText="1"/>
    </xf>
    <xf numFmtId="0" fontId="0" fillId="0" borderId="90" xfId="0" applyBorder="1" applyAlignment="1">
      <alignment horizontal="left" vertical="center" wrapText="1"/>
    </xf>
    <xf numFmtId="9" fontId="1" fillId="8" borderId="44" xfId="0" applyNumberFormat="1" applyFont="1" applyFill="1" applyBorder="1" applyAlignment="1">
      <alignment horizontal="center" vertical="center" wrapText="1"/>
    </xf>
    <xf numFmtId="9" fontId="1" fillId="8" borderId="32" xfId="0" applyNumberFormat="1" applyFont="1" applyFill="1" applyBorder="1" applyAlignment="1">
      <alignment horizontal="center" vertical="center" wrapText="1"/>
    </xf>
    <xf numFmtId="9" fontId="1" fillId="8" borderId="82" xfId="0" applyNumberFormat="1" applyFont="1" applyFill="1" applyBorder="1" applyAlignment="1">
      <alignment horizontal="center" vertical="center" wrapText="1"/>
    </xf>
    <xf numFmtId="9" fontId="0" fillId="8" borderId="54" xfId="0" applyNumberFormat="1" applyFill="1" applyBorder="1" applyAlignment="1">
      <alignment horizontal="center" vertical="center" wrapText="1"/>
    </xf>
    <xf numFmtId="9" fontId="0" fillId="8" borderId="11" xfId="0" applyNumberFormat="1" applyFill="1" applyBorder="1" applyAlignment="1">
      <alignment horizontal="center" vertical="center" wrapText="1"/>
    </xf>
    <xf numFmtId="9" fontId="1" fillId="0" borderId="33" xfId="2" applyFont="1" applyFill="1" applyBorder="1" applyAlignment="1">
      <alignment horizontal="center" vertical="center" wrapText="1"/>
    </xf>
    <xf numFmtId="9" fontId="1" fillId="0" borderId="32" xfId="2" applyFont="1" applyFill="1" applyBorder="1" applyAlignment="1">
      <alignment horizontal="center" vertical="center" wrapText="1"/>
    </xf>
    <xf numFmtId="9" fontId="1" fillId="0" borderId="7" xfId="2" applyFont="1" applyFill="1" applyBorder="1" applyAlignment="1">
      <alignment horizontal="center" vertical="center" wrapText="1"/>
    </xf>
    <xf numFmtId="9" fontId="0" fillId="8" borderId="1" xfId="0" applyNumberFormat="1" applyFill="1" applyBorder="1" applyAlignment="1">
      <alignment horizontal="center" vertical="center" wrapText="1"/>
    </xf>
    <xf numFmtId="20" fontId="0" fillId="8" borderId="1" xfId="0" applyNumberFormat="1" applyFill="1" applyBorder="1" applyAlignment="1">
      <alignment horizontal="center" vertical="center" wrapText="1"/>
    </xf>
    <xf numFmtId="20" fontId="1" fillId="0" borderId="1" xfId="0" applyNumberFormat="1" applyFont="1" applyBorder="1" applyAlignment="1">
      <alignment horizontal="center" vertical="center" wrapText="1"/>
    </xf>
    <xf numFmtId="165" fontId="0" fillId="8" borderId="22" xfId="1" quotePrefix="1" applyFont="1" applyFill="1" applyBorder="1" applyAlignment="1">
      <alignment horizontal="center" vertical="center" wrapText="1"/>
    </xf>
    <xf numFmtId="165" fontId="0" fillId="8" borderId="11" xfId="1" applyFont="1" applyFill="1" applyBorder="1" applyAlignment="1">
      <alignment horizontal="center" vertical="center" wrapText="1"/>
    </xf>
    <xf numFmtId="165" fontId="1" fillId="8" borderId="11" xfId="1" quotePrefix="1" applyFont="1" applyFill="1" applyBorder="1" applyAlignment="1">
      <alignment horizontal="center" vertical="center" wrapText="1"/>
    </xf>
    <xf numFmtId="165" fontId="1" fillId="8" borderId="11" xfId="1" applyFont="1" applyFill="1" applyBorder="1" applyAlignment="1">
      <alignment horizontal="center" vertical="center" wrapText="1"/>
    </xf>
    <xf numFmtId="165" fontId="1" fillId="8" borderId="80" xfId="1" applyFont="1" applyFill="1" applyBorder="1" applyAlignment="1">
      <alignment horizontal="center" vertical="center" wrapText="1"/>
    </xf>
    <xf numFmtId="165" fontId="0" fillId="8" borderId="22" xfId="1" applyFont="1" applyFill="1" applyBorder="1" applyAlignment="1">
      <alignment horizontal="center" vertical="center" wrapText="1"/>
    </xf>
    <xf numFmtId="167" fontId="1" fillId="8" borderId="44" xfId="2" applyNumberFormat="1" applyFont="1" applyFill="1" applyBorder="1" applyAlignment="1">
      <alignment horizontal="center" vertical="center" wrapText="1"/>
    </xf>
    <xf numFmtId="167" fontId="1" fillId="8" borderId="32" xfId="2" applyNumberFormat="1" applyFont="1" applyFill="1" applyBorder="1" applyAlignment="1">
      <alignment horizontal="center" vertical="center" wrapText="1"/>
    </xf>
    <xf numFmtId="167" fontId="1" fillId="8" borderId="82" xfId="2" applyNumberFormat="1" applyFont="1" applyFill="1" applyBorder="1" applyAlignment="1">
      <alignment horizontal="center" vertical="center" wrapText="1"/>
    </xf>
    <xf numFmtId="165" fontId="0" fillId="8" borderId="11" xfId="1" quotePrefix="1" applyFont="1" applyFill="1" applyBorder="1" applyAlignment="1">
      <alignment horizontal="center" vertical="center" wrapText="1"/>
    </xf>
    <xf numFmtId="165" fontId="0" fillId="8" borderId="80" xfId="1" applyFont="1" applyFill="1" applyBorder="1" applyAlignment="1">
      <alignment horizontal="center" vertical="center" wrapText="1"/>
    </xf>
    <xf numFmtId="9" fontId="1" fillId="0" borderId="30" xfId="0" applyNumberFormat="1" applyFont="1" applyBorder="1" applyAlignment="1">
      <alignment horizontal="center" vertical="center" wrapText="1"/>
    </xf>
    <xf numFmtId="9" fontId="1" fillId="0" borderId="29" xfId="0" applyNumberFormat="1" applyFont="1" applyBorder="1" applyAlignment="1">
      <alignment horizontal="center" vertical="center" wrapText="1"/>
    </xf>
    <xf numFmtId="9" fontId="1" fillId="0" borderId="24" xfId="0" applyNumberFormat="1" applyFont="1" applyBorder="1" applyAlignment="1">
      <alignment horizontal="center" vertical="center" wrapText="1"/>
    </xf>
    <xf numFmtId="0" fontId="0" fillId="0" borderId="76" xfId="0" applyBorder="1" applyAlignment="1">
      <alignment horizontal="center" vertical="center" wrapText="1"/>
    </xf>
    <xf numFmtId="167" fontId="0" fillId="0" borderId="1" xfId="0" applyNumberFormat="1" applyBorder="1" applyAlignment="1">
      <alignment horizontal="center" vertical="center" wrapText="1"/>
    </xf>
    <xf numFmtId="167" fontId="0" fillId="8" borderId="1" xfId="2" applyNumberFormat="1" applyFont="1" applyFill="1" applyBorder="1" applyAlignment="1">
      <alignment horizontal="center" vertical="center" wrapText="1"/>
    </xf>
    <xf numFmtId="9" fontId="0" fillId="8" borderId="80" xfId="0" applyNumberFormat="1" applyFill="1" applyBorder="1" applyAlignment="1">
      <alignment horizontal="center" vertical="center" wrapText="1"/>
    </xf>
    <xf numFmtId="9" fontId="1" fillId="8" borderId="45" xfId="0" applyNumberFormat="1" applyFont="1" applyFill="1" applyBorder="1" applyAlignment="1">
      <alignment horizontal="center" vertical="center" wrapText="1"/>
    </xf>
    <xf numFmtId="9" fontId="1" fillId="8" borderId="29" xfId="0" applyNumberFormat="1" applyFont="1" applyFill="1" applyBorder="1" applyAlignment="1">
      <alignment horizontal="center" vertical="center" wrapText="1"/>
    </xf>
    <xf numFmtId="9" fontId="1" fillId="8" borderId="24" xfId="0" applyNumberFormat="1" applyFont="1" applyFill="1" applyBorder="1" applyAlignment="1">
      <alignment horizontal="center" vertical="center" wrapText="1"/>
    </xf>
    <xf numFmtId="9" fontId="1" fillId="8" borderId="30" xfId="0" applyNumberFormat="1" applyFont="1" applyFill="1" applyBorder="1" applyAlignment="1">
      <alignment horizontal="center" vertical="center" wrapText="1"/>
    </xf>
    <xf numFmtId="9" fontId="7" fillId="8" borderId="24" xfId="2" applyFont="1" applyFill="1" applyBorder="1" applyAlignment="1">
      <alignment horizontal="center" vertical="center" wrapText="1"/>
    </xf>
    <xf numFmtId="0" fontId="0" fillId="8" borderId="76" xfId="0" applyFill="1" applyBorder="1" applyAlignment="1">
      <alignment horizontal="center" vertical="center" wrapText="1"/>
    </xf>
    <xf numFmtId="9" fontId="7" fillId="8" borderId="11" xfId="2" applyFont="1" applyFill="1" applyBorder="1" applyAlignment="1">
      <alignment horizontal="center" vertical="center" wrapText="1"/>
    </xf>
    <xf numFmtId="9" fontId="7" fillId="8" borderId="80" xfId="2" applyFont="1" applyFill="1" applyBorder="1" applyAlignment="1">
      <alignment horizontal="center" vertical="center" wrapText="1"/>
    </xf>
    <xf numFmtId="9" fontId="7" fillId="0" borderId="22" xfId="2" applyFont="1" applyFill="1" applyBorder="1" applyAlignment="1">
      <alignment horizontal="center" vertical="center" wrapText="1"/>
    </xf>
    <xf numFmtId="9" fontId="7" fillId="0" borderId="11" xfId="2" applyFont="1" applyFill="1" applyBorder="1" applyAlignment="1">
      <alignment horizontal="center" vertical="center" wrapText="1"/>
    </xf>
    <xf numFmtId="9" fontId="7" fillId="0" borderId="80" xfId="2" applyFont="1" applyFill="1" applyBorder="1" applyAlignment="1">
      <alignment horizontal="center" vertical="center" wrapText="1"/>
    </xf>
    <xf numFmtId="9" fontId="0" fillId="8" borderId="18" xfId="2" applyFont="1" applyFill="1" applyBorder="1" applyAlignment="1">
      <alignment vertical="center" wrapText="1"/>
    </xf>
    <xf numFmtId="9" fontId="0" fillId="8" borderId="19" xfId="2" applyFont="1" applyFill="1" applyBorder="1" applyAlignment="1">
      <alignment vertical="center" wrapText="1"/>
    </xf>
    <xf numFmtId="9" fontId="0" fillId="8" borderId="85" xfId="2" applyFont="1" applyFill="1" applyBorder="1" applyAlignment="1">
      <alignment vertical="center" wrapText="1"/>
    </xf>
    <xf numFmtId="9" fontId="1" fillId="8" borderId="81" xfId="0" applyNumberFormat="1" applyFont="1" applyFill="1" applyBorder="1" applyAlignment="1">
      <alignment horizontal="center" vertical="center" wrapText="1"/>
    </xf>
    <xf numFmtId="10" fontId="1" fillId="0" borderId="1" xfId="0" applyNumberFormat="1" applyFont="1" applyBorder="1" applyAlignment="1">
      <alignment horizontal="center" vertical="center" wrapText="1"/>
    </xf>
    <xf numFmtId="10" fontId="1" fillId="0" borderId="78" xfId="0" applyNumberFormat="1" applyFont="1" applyBorder="1" applyAlignment="1">
      <alignment horizontal="center" vertical="center" wrapText="1"/>
    </xf>
    <xf numFmtId="1" fontId="0" fillId="0" borderId="22" xfId="0" applyNumberFormat="1" applyBorder="1" applyAlignment="1">
      <alignment horizontal="center" vertical="center" wrapText="1"/>
    </xf>
    <xf numFmtId="1" fontId="0" fillId="0" borderId="11" xfId="0" applyNumberFormat="1" applyBorder="1" applyAlignment="1">
      <alignment horizontal="center" vertical="center" wrapText="1"/>
    </xf>
    <xf numFmtId="1" fontId="1" fillId="0" borderId="22" xfId="0" applyNumberFormat="1" applyFont="1" applyBorder="1" applyAlignment="1">
      <alignment horizontal="center" vertical="center" wrapText="1"/>
    </xf>
    <xf numFmtId="1" fontId="1" fillId="0" borderId="11" xfId="0" applyNumberFormat="1" applyFont="1" applyBorder="1" applyAlignment="1">
      <alignment horizontal="center" vertical="center" wrapText="1"/>
    </xf>
    <xf numFmtId="1" fontId="0" fillId="0" borderId="80" xfId="0" applyNumberFormat="1" applyBorder="1" applyAlignment="1">
      <alignment horizontal="center" vertical="center" wrapText="1"/>
    </xf>
    <xf numFmtId="9" fontId="29" fillId="0" borderId="11" xfId="0" applyNumberFormat="1" applyFont="1" applyBorder="1" applyAlignment="1">
      <alignment horizontal="center" vertical="center" wrapText="1"/>
    </xf>
    <xf numFmtId="0" fontId="29" fillId="0" borderId="11" xfId="0" applyFont="1" applyBorder="1" applyAlignment="1">
      <alignment horizontal="center" vertical="center" wrapText="1"/>
    </xf>
    <xf numFmtId="0" fontId="29" fillId="0" borderId="80" xfId="0" applyFont="1" applyBorder="1" applyAlignment="1">
      <alignment horizontal="center" vertical="center" wrapText="1"/>
    </xf>
    <xf numFmtId="9" fontId="17" fillId="0" borderId="46" xfId="2" applyFont="1" applyFill="1" applyBorder="1" applyAlignment="1">
      <alignment horizontal="center" vertical="center" wrapText="1"/>
    </xf>
    <xf numFmtId="9" fontId="17" fillId="0" borderId="35" xfId="2" applyFont="1" applyFill="1" applyBorder="1" applyAlignment="1">
      <alignment horizontal="center" vertical="center" wrapText="1"/>
    </xf>
    <xf numFmtId="9" fontId="17" fillId="0" borderId="83" xfId="2" applyFont="1" applyFill="1" applyBorder="1" applyAlignment="1">
      <alignment horizontal="center" vertical="center" wrapText="1"/>
    </xf>
    <xf numFmtId="0" fontId="0" fillId="8" borderId="78" xfId="0" applyFill="1" applyBorder="1" applyAlignment="1">
      <alignment horizontal="center" vertical="center" wrapText="1"/>
    </xf>
    <xf numFmtId="20" fontId="1" fillId="0" borderId="11" xfId="0" applyNumberFormat="1" applyFont="1" applyBorder="1" applyAlignment="1">
      <alignment horizontal="center" vertical="center" wrapText="1"/>
    </xf>
    <xf numFmtId="20" fontId="1" fillId="0" borderId="80" xfId="0" applyNumberFormat="1" applyFont="1" applyBorder="1" applyAlignment="1">
      <alignment horizontal="center" vertical="center" wrapText="1"/>
    </xf>
    <xf numFmtId="0" fontId="0" fillId="0" borderId="30" xfId="0" applyBorder="1" applyAlignment="1">
      <alignment horizontal="left" vertical="center" wrapText="1"/>
    </xf>
    <xf numFmtId="0" fontId="0" fillId="0" borderId="33" xfId="0" applyBorder="1" applyAlignment="1">
      <alignment horizontal="left" vertical="center" wrapText="1"/>
    </xf>
    <xf numFmtId="10" fontId="0" fillId="8" borderId="33" xfId="0" applyNumberFormat="1" applyFill="1" applyBorder="1" applyAlignment="1">
      <alignment horizontal="center" vertical="center" wrapText="1"/>
    </xf>
    <xf numFmtId="10" fontId="0" fillId="8" borderId="32" xfId="0" applyNumberFormat="1" applyFill="1" applyBorder="1" applyAlignment="1">
      <alignment horizontal="center" vertical="center" wrapText="1"/>
    </xf>
    <xf numFmtId="10" fontId="0" fillId="8" borderId="7" xfId="0" applyNumberFormat="1" applyFill="1" applyBorder="1" applyAlignment="1">
      <alignment horizontal="center" vertical="center" wrapText="1"/>
    </xf>
    <xf numFmtId="10" fontId="0" fillId="0" borderId="82" xfId="0" applyNumberFormat="1" applyBorder="1" applyAlignment="1">
      <alignment horizontal="center" vertical="center" wrapText="1"/>
    </xf>
    <xf numFmtId="0" fontId="0" fillId="0" borderId="91" xfId="0" applyBorder="1" applyAlignment="1">
      <alignment horizontal="left" vertical="center" wrapText="1"/>
    </xf>
    <xf numFmtId="9" fontId="7" fillId="0" borderId="2" xfId="2" applyFont="1" applyFill="1" applyBorder="1" applyAlignment="1">
      <alignment horizontal="center" vertical="center" wrapText="1"/>
    </xf>
    <xf numFmtId="0" fontId="0" fillId="0" borderId="78" xfId="0" applyBorder="1" applyAlignment="1">
      <alignment horizontal="center" vertical="center" wrapText="1"/>
    </xf>
    <xf numFmtId="1" fontId="0" fillId="0" borderId="116" xfId="0" quotePrefix="1" applyNumberFormat="1" applyBorder="1" applyAlignment="1">
      <alignment horizontal="center" vertical="center" wrapText="1"/>
    </xf>
    <xf numFmtId="9" fontId="1" fillId="8" borderId="7"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78" xfId="0" applyFont="1" applyFill="1" applyBorder="1" applyAlignment="1">
      <alignment horizontal="center" vertical="center" wrapText="1"/>
    </xf>
    <xf numFmtId="0" fontId="0" fillId="8" borderId="80" xfId="0" applyFill="1" applyBorder="1" applyAlignment="1">
      <alignment horizontal="center" vertical="center" wrapText="1"/>
    </xf>
    <xf numFmtId="0" fontId="0" fillId="0" borderId="115" xfId="0" applyBorder="1" applyAlignment="1">
      <alignment horizontal="center" vertical="top" wrapText="1"/>
    </xf>
    <xf numFmtId="0" fontId="0" fillId="0" borderId="117" xfId="0" applyBorder="1" applyAlignment="1">
      <alignment horizontal="center" vertical="top" wrapText="1"/>
    </xf>
    <xf numFmtId="0" fontId="0" fillId="0" borderId="88" xfId="0" applyBorder="1" applyAlignment="1">
      <alignment horizontal="center" vertical="top" wrapText="1"/>
    </xf>
    <xf numFmtId="9" fontId="0" fillId="0" borderId="2" xfId="2" applyFont="1" applyFill="1" applyBorder="1" applyAlignment="1">
      <alignment horizontal="center" vertical="center" wrapText="1"/>
    </xf>
    <xf numFmtId="10" fontId="7" fillId="8" borderId="33" xfId="2" applyNumberFormat="1" applyFont="1" applyFill="1" applyBorder="1" applyAlignment="1">
      <alignment horizontal="center" vertical="center" wrapText="1"/>
    </xf>
    <xf numFmtId="10" fontId="7" fillId="8" borderId="32" xfId="2" applyNumberFormat="1" applyFont="1" applyFill="1" applyBorder="1" applyAlignment="1">
      <alignment horizontal="center" vertical="center" wrapText="1"/>
    </xf>
    <xf numFmtId="10" fontId="7" fillId="8" borderId="82" xfId="2" applyNumberFormat="1" applyFont="1" applyFill="1" applyBorder="1" applyAlignment="1">
      <alignment horizontal="center" vertical="center" wrapText="1"/>
    </xf>
    <xf numFmtId="4" fontId="1" fillId="0" borderId="44" xfId="1" applyNumberFormat="1" applyFont="1" applyFill="1" applyBorder="1" applyAlignment="1">
      <alignment horizontal="center" vertical="center" wrapText="1"/>
    </xf>
    <xf numFmtId="4" fontId="1" fillId="0" borderId="32" xfId="1" applyNumberFormat="1" applyFont="1" applyFill="1" applyBorder="1" applyAlignment="1">
      <alignment horizontal="center" vertical="center" wrapText="1"/>
    </xf>
    <xf numFmtId="4" fontId="1" fillId="0" borderId="34" xfId="1" applyNumberFormat="1" applyFont="1" applyFill="1" applyBorder="1" applyAlignment="1">
      <alignment horizontal="center" vertical="center" wrapText="1"/>
    </xf>
    <xf numFmtId="4" fontId="1" fillId="0" borderId="82" xfId="1" applyNumberFormat="1" applyFont="1" applyFill="1" applyBorder="1" applyAlignment="1">
      <alignment horizontal="center" vertical="center" wrapText="1"/>
    </xf>
    <xf numFmtId="0" fontId="1" fillId="0" borderId="36" xfId="2" applyNumberFormat="1" applyFont="1" applyBorder="1" applyAlignment="1">
      <alignment horizontal="center" vertical="center" wrapText="1"/>
    </xf>
    <xf numFmtId="0" fontId="1" fillId="0" borderId="35" xfId="2" applyNumberFormat="1" applyFont="1" applyBorder="1" applyAlignment="1">
      <alignment horizontal="center" vertical="center" wrapText="1"/>
    </xf>
    <xf numFmtId="0" fontId="1" fillId="0" borderId="22" xfId="2" applyNumberFormat="1" applyFont="1" applyBorder="1" applyAlignment="1">
      <alignment horizontal="center" vertical="center" wrapText="1"/>
    </xf>
    <xf numFmtId="0" fontId="1" fillId="0" borderId="83" xfId="2" applyNumberFormat="1" applyFont="1" applyBorder="1" applyAlignment="1">
      <alignment horizontal="center" vertical="center" wrapText="1"/>
    </xf>
    <xf numFmtId="4" fontId="1" fillId="8" borderId="44" xfId="1" applyNumberFormat="1" applyFont="1" applyFill="1" applyBorder="1" applyAlignment="1">
      <alignment horizontal="center" vertical="center" wrapText="1"/>
    </xf>
    <xf numFmtId="4" fontId="1" fillId="8" borderId="32" xfId="1" applyNumberFormat="1" applyFont="1" applyFill="1" applyBorder="1" applyAlignment="1">
      <alignment horizontal="center" vertical="center" wrapText="1"/>
    </xf>
    <xf numFmtId="4" fontId="1" fillId="8" borderId="34" xfId="1" applyNumberFormat="1" applyFont="1" applyFill="1" applyBorder="1" applyAlignment="1">
      <alignment horizontal="center" vertical="center" wrapText="1"/>
    </xf>
    <xf numFmtId="9" fontId="0" fillId="0" borderId="45" xfId="2" applyFont="1" applyBorder="1" applyAlignment="1">
      <alignment horizontal="center" vertical="center" wrapText="1"/>
    </xf>
    <xf numFmtId="9" fontId="0" fillId="0" borderId="29" xfId="2" applyFont="1" applyBorder="1" applyAlignment="1">
      <alignment horizontal="center" vertical="center" wrapText="1"/>
    </xf>
    <xf numFmtId="9" fontId="0" fillId="0" borderId="24" xfId="2" applyFont="1" applyBorder="1" applyAlignment="1">
      <alignment horizontal="center" vertical="center" wrapText="1"/>
    </xf>
    <xf numFmtId="9" fontId="17" fillId="0" borderId="44" xfId="2" applyFont="1" applyFill="1" applyBorder="1" applyAlignment="1">
      <alignment horizontal="center" vertical="center" wrapText="1"/>
    </xf>
    <xf numFmtId="9" fontId="17" fillId="0" borderId="32" xfId="2" applyFont="1" applyFill="1" applyBorder="1" applyAlignment="1">
      <alignment horizontal="center" vertical="center" wrapText="1"/>
    </xf>
    <xf numFmtId="9" fontId="17" fillId="0" borderId="7" xfId="2" applyFont="1" applyFill="1" applyBorder="1" applyAlignment="1">
      <alignment horizontal="center" vertical="center" wrapText="1"/>
    </xf>
    <xf numFmtId="9" fontId="17" fillId="0" borderId="82" xfId="2" applyFont="1" applyFill="1" applyBorder="1" applyAlignment="1">
      <alignment horizontal="center" vertical="center" wrapText="1"/>
    </xf>
    <xf numFmtId="9" fontId="0" fillId="0" borderId="2" xfId="2" applyFont="1" applyBorder="1" applyAlignment="1">
      <alignment horizontal="center" vertical="center" wrapText="1"/>
    </xf>
    <xf numFmtId="9" fontId="0" fillId="0" borderId="76" xfId="2" applyFont="1" applyBorder="1" applyAlignment="1">
      <alignment horizontal="center" vertical="center" wrapText="1"/>
    </xf>
    <xf numFmtId="9" fontId="0" fillId="0" borderId="11" xfId="2" applyFont="1" applyBorder="1" applyAlignment="1">
      <alignment horizontal="center" vertical="center" wrapText="1"/>
    </xf>
    <xf numFmtId="9" fontId="0" fillId="0" borderId="80" xfId="2" applyFont="1" applyBorder="1" applyAlignment="1">
      <alignment horizontal="center" vertical="center" wrapText="1"/>
    </xf>
    <xf numFmtId="167" fontId="7" fillId="8" borderId="44" xfId="2" applyNumberFormat="1" applyFont="1" applyFill="1" applyBorder="1" applyAlignment="1">
      <alignment horizontal="center" vertical="center" wrapText="1"/>
    </xf>
    <xf numFmtId="167" fontId="7" fillId="8" borderId="32" xfId="2" applyNumberFormat="1" applyFont="1" applyFill="1" applyBorder="1" applyAlignment="1">
      <alignment horizontal="center" vertical="center" wrapText="1"/>
    </xf>
    <xf numFmtId="167" fontId="7" fillId="8" borderId="82" xfId="2" applyNumberFormat="1" applyFont="1" applyFill="1" applyBorder="1" applyAlignment="1">
      <alignment horizontal="center" vertical="center" wrapText="1"/>
    </xf>
    <xf numFmtId="0" fontId="0" fillId="0" borderId="11" xfId="0" applyBorder="1" applyAlignment="1">
      <alignment horizontal="center" vertical="center" wrapText="1"/>
    </xf>
    <xf numFmtId="20" fontId="0" fillId="8" borderId="11" xfId="0" applyNumberFormat="1" applyFill="1" applyBorder="1" applyAlignment="1">
      <alignment horizontal="center" vertical="center" wrapText="1"/>
    </xf>
    <xf numFmtId="20" fontId="0" fillId="8" borderId="80" xfId="0" applyNumberFormat="1" applyFill="1" applyBorder="1" applyAlignment="1">
      <alignment horizontal="center" vertical="center" wrapText="1"/>
    </xf>
    <xf numFmtId="9" fontId="1" fillId="0" borderId="45" xfId="2" applyFont="1" applyBorder="1" applyAlignment="1">
      <alignment horizontal="center" vertical="center" wrapText="1"/>
    </xf>
    <xf numFmtId="9" fontId="1" fillId="0" borderId="29" xfId="2" applyFont="1" applyBorder="1" applyAlignment="1">
      <alignment horizontal="center" vertical="center" wrapText="1"/>
    </xf>
    <xf numFmtId="9" fontId="1" fillId="0" borderId="24" xfId="2" applyFont="1" applyBorder="1" applyAlignment="1">
      <alignment horizontal="center" vertical="center" wrapText="1"/>
    </xf>
    <xf numFmtId="9" fontId="0" fillId="8" borderId="45" xfId="2" applyFont="1" applyFill="1" applyBorder="1" applyAlignment="1">
      <alignment horizontal="center" vertical="center" wrapText="1"/>
    </xf>
    <xf numFmtId="9" fontId="0" fillId="8" borderId="29" xfId="2" applyFont="1" applyFill="1" applyBorder="1" applyAlignment="1">
      <alignment horizontal="center" vertical="center" wrapText="1"/>
    </xf>
    <xf numFmtId="9" fontId="0" fillId="8" borderId="24" xfId="2" applyFont="1" applyFill="1" applyBorder="1" applyAlignment="1">
      <alignment horizontal="center" vertical="center" wrapText="1"/>
    </xf>
    <xf numFmtId="9" fontId="17" fillId="8" borderId="44" xfId="2" applyFont="1" applyFill="1" applyBorder="1" applyAlignment="1">
      <alignment horizontal="center" vertical="center" wrapText="1"/>
    </xf>
    <xf numFmtId="9" fontId="17" fillId="8" borderId="32" xfId="2" applyFont="1" applyFill="1" applyBorder="1" applyAlignment="1">
      <alignment horizontal="center" vertical="center" wrapText="1"/>
    </xf>
    <xf numFmtId="9" fontId="17" fillId="8" borderId="7" xfId="2" applyFont="1" applyFill="1" applyBorder="1" applyAlignment="1">
      <alignment horizontal="center" vertical="center" wrapText="1"/>
    </xf>
    <xf numFmtId="9" fontId="0" fillId="0" borderId="81" xfId="2" applyFont="1" applyBorder="1" applyAlignment="1">
      <alignment horizontal="center" vertical="center" wrapText="1"/>
    </xf>
    <xf numFmtId="0" fontId="1" fillId="8" borderId="119" xfId="0" applyFont="1" applyFill="1" applyBorder="1" applyAlignment="1">
      <alignment horizontal="center" vertical="center" wrapText="1"/>
    </xf>
    <xf numFmtId="0" fontId="1" fillId="8" borderId="118" xfId="0" applyFont="1" applyFill="1" applyBorder="1" applyAlignment="1">
      <alignment horizontal="center" vertical="center" wrapText="1"/>
    </xf>
    <xf numFmtId="4" fontId="17" fillId="8" borderId="46" xfId="1" applyNumberFormat="1" applyFont="1" applyFill="1" applyBorder="1" applyAlignment="1">
      <alignment horizontal="center" vertical="center" wrapText="1"/>
    </xf>
    <xf numFmtId="4" fontId="17" fillId="8" borderId="35" xfId="1" applyNumberFormat="1" applyFont="1" applyFill="1" applyBorder="1" applyAlignment="1">
      <alignment horizontal="center" vertical="center" wrapText="1"/>
    </xf>
    <xf numFmtId="4" fontId="17" fillId="8" borderId="22" xfId="1" applyNumberFormat="1" applyFont="1" applyFill="1" applyBorder="1" applyAlignment="1">
      <alignment horizontal="center" vertical="center" wrapText="1"/>
    </xf>
    <xf numFmtId="4" fontId="17" fillId="8" borderId="83" xfId="1" applyNumberFormat="1" applyFont="1" applyFill="1" applyBorder="1" applyAlignment="1">
      <alignment horizontal="center" vertical="center" wrapText="1"/>
    </xf>
    <xf numFmtId="1" fontId="0" fillId="0" borderId="18" xfId="0" applyNumberFormat="1" applyBorder="1" applyAlignment="1">
      <alignment horizontal="center" vertical="center" wrapText="1"/>
    </xf>
    <xf numFmtId="1" fontId="0" fillId="0" borderId="19" xfId="0" applyNumberFormat="1" applyBorder="1" applyAlignment="1">
      <alignment horizontal="center" vertical="center" wrapText="1"/>
    </xf>
    <xf numFmtId="1" fontId="0" fillId="0" borderId="85" xfId="0" applyNumberFormat="1" applyBorder="1" applyAlignment="1">
      <alignment horizontal="center" vertical="center" wrapText="1"/>
    </xf>
    <xf numFmtId="0" fontId="0" fillId="8" borderId="46" xfId="2" applyNumberFormat="1" applyFont="1" applyFill="1" applyBorder="1" applyAlignment="1">
      <alignment horizontal="center" vertical="center" wrapText="1"/>
    </xf>
    <xf numFmtId="0" fontId="0" fillId="8" borderId="35" xfId="2" applyNumberFormat="1" applyFont="1" applyFill="1" applyBorder="1" applyAlignment="1">
      <alignment horizontal="center" vertical="center" wrapText="1"/>
    </xf>
    <xf numFmtId="0" fontId="0" fillId="8" borderId="22" xfId="2" applyNumberFormat="1" applyFont="1" applyFill="1" applyBorder="1" applyAlignment="1">
      <alignment horizontal="center" vertical="center" wrapText="1"/>
    </xf>
    <xf numFmtId="0" fontId="1" fillId="8" borderId="36" xfId="2" applyNumberFormat="1" applyFont="1" applyFill="1" applyBorder="1" applyAlignment="1">
      <alignment horizontal="center" vertical="center" wrapText="1"/>
    </xf>
    <xf numFmtId="0" fontId="1" fillId="8" borderId="35" xfId="2" applyNumberFormat="1" applyFont="1" applyFill="1" applyBorder="1" applyAlignment="1">
      <alignment horizontal="center" vertical="center" wrapText="1"/>
    </xf>
    <xf numFmtId="0" fontId="1" fillId="8" borderId="22" xfId="2" applyNumberFormat="1" applyFont="1" applyFill="1" applyBorder="1" applyAlignment="1">
      <alignment horizontal="center" vertical="center" wrapText="1"/>
    </xf>
    <xf numFmtId="9" fontId="1" fillId="0" borderId="81" xfId="0" applyNumberFormat="1" applyFont="1" applyBorder="1" applyAlignment="1">
      <alignment horizontal="center" vertical="center" wrapText="1"/>
    </xf>
    <xf numFmtId="9" fontId="1" fillId="0" borderId="44" xfId="0" applyNumberFormat="1" applyFont="1" applyBorder="1" applyAlignment="1">
      <alignment horizontal="center" vertical="center" wrapText="1"/>
    </xf>
    <xf numFmtId="9" fontId="1" fillId="0" borderId="32" xfId="0" applyNumberFormat="1" applyFont="1" applyBorder="1" applyAlignment="1">
      <alignment horizontal="center" vertical="center" wrapText="1"/>
    </xf>
    <xf numFmtId="9" fontId="1" fillId="0" borderId="82" xfId="0" applyNumberFormat="1" applyFont="1" applyBorder="1" applyAlignment="1">
      <alignment horizontal="center" vertical="center" wrapText="1"/>
    </xf>
    <xf numFmtId="9" fontId="17" fillId="8" borderId="46" xfId="0" applyNumberFormat="1" applyFont="1" applyFill="1" applyBorder="1" applyAlignment="1">
      <alignment horizontal="center" vertical="center" wrapText="1"/>
    </xf>
    <xf numFmtId="9" fontId="17" fillId="8" borderId="22" xfId="0" applyNumberFormat="1" applyFont="1" applyFill="1" applyBorder="1" applyAlignment="1">
      <alignment horizontal="center" vertical="center" wrapText="1"/>
    </xf>
    <xf numFmtId="9" fontId="17" fillId="0" borderId="46" xfId="0" applyNumberFormat="1" applyFont="1" applyBorder="1" applyAlignment="1">
      <alignment horizontal="center" vertical="center" wrapText="1"/>
    </xf>
    <xf numFmtId="9" fontId="17" fillId="0" borderId="35" xfId="0" applyNumberFormat="1" applyFont="1" applyBorder="1" applyAlignment="1">
      <alignment horizontal="center" vertical="center" wrapText="1"/>
    </xf>
    <xf numFmtId="9" fontId="17" fillId="0" borderId="83" xfId="0" applyNumberFormat="1" applyFont="1" applyBorder="1" applyAlignment="1">
      <alignment horizontal="center" vertical="center" wrapText="1"/>
    </xf>
    <xf numFmtId="9" fontId="29" fillId="8" borderId="44" xfId="2" applyFont="1" applyFill="1" applyBorder="1" applyAlignment="1">
      <alignment horizontal="center" vertical="center" wrapText="1"/>
    </xf>
    <xf numFmtId="9" fontId="29" fillId="8" borderId="32" xfId="2" applyFont="1" applyFill="1" applyBorder="1" applyAlignment="1">
      <alignment horizontal="center" vertical="center" wrapText="1"/>
    </xf>
    <xf numFmtId="9" fontId="29" fillId="8" borderId="7" xfId="2" applyFont="1" applyFill="1" applyBorder="1" applyAlignment="1">
      <alignment horizontal="center" vertical="center" wrapText="1"/>
    </xf>
    <xf numFmtId="9" fontId="29" fillId="8" borderId="33" xfId="2" applyFont="1" applyFill="1" applyBorder="1" applyAlignment="1">
      <alignment horizontal="center" vertical="center" wrapText="1"/>
    </xf>
    <xf numFmtId="9" fontId="29" fillId="8" borderId="82" xfId="2" applyFont="1" applyFill="1" applyBorder="1" applyAlignment="1">
      <alignment horizontal="center" vertical="center" wrapText="1"/>
    </xf>
    <xf numFmtId="43" fontId="41" fillId="0" borderId="46" xfId="1" applyNumberFormat="1" applyFont="1" applyFill="1" applyBorder="1" applyAlignment="1">
      <alignment vertical="center" wrapText="1"/>
    </xf>
    <xf numFmtId="43" fontId="41" fillId="0" borderId="35" xfId="1" applyNumberFormat="1" applyFont="1" applyFill="1" applyBorder="1" applyAlignment="1">
      <alignment vertical="center" wrapText="1"/>
    </xf>
    <xf numFmtId="43" fontId="41" fillId="0" borderId="83" xfId="1" applyNumberFormat="1" applyFont="1" applyFill="1" applyBorder="1" applyAlignment="1">
      <alignment vertical="center" wrapText="1"/>
    </xf>
    <xf numFmtId="0" fontId="0" fillId="8" borderId="11" xfId="2" applyNumberFormat="1" applyFont="1" applyFill="1" applyBorder="1" applyAlignment="1">
      <alignment horizontal="center" vertical="center" wrapText="1"/>
    </xf>
    <xf numFmtId="0" fontId="0" fillId="8" borderId="80" xfId="2" applyNumberFormat="1" applyFont="1" applyFill="1" applyBorder="1" applyAlignment="1">
      <alignment horizontal="center" vertical="center" wrapText="1"/>
    </xf>
    <xf numFmtId="167" fontId="0" fillId="8" borderId="1" xfId="0" applyNumberFormat="1" applyFill="1" applyBorder="1" applyAlignment="1">
      <alignment horizontal="center" vertical="center" wrapText="1"/>
    </xf>
    <xf numFmtId="9" fontId="17" fillId="0" borderId="33" xfId="2" applyFont="1" applyFill="1" applyBorder="1" applyAlignment="1">
      <alignment horizontal="center" vertical="center" wrapText="1"/>
    </xf>
    <xf numFmtId="9" fontId="17" fillId="0" borderId="1" xfId="0" applyNumberFormat="1" applyFont="1" applyBorder="1" applyAlignment="1">
      <alignment horizontal="center" vertical="center" wrapText="1"/>
    </xf>
    <xf numFmtId="20" fontId="17" fillId="0" borderId="1" xfId="0" applyNumberFormat="1" applyFont="1" applyBorder="1" applyAlignment="1">
      <alignment horizontal="center" vertical="center" wrapText="1"/>
    </xf>
    <xf numFmtId="9" fontId="17" fillId="8" borderId="1" xfId="0" applyNumberFormat="1" applyFont="1" applyFill="1" applyBorder="1" applyAlignment="1">
      <alignment horizontal="center" vertical="center" wrapText="1"/>
    </xf>
    <xf numFmtId="20" fontId="17" fillId="8" borderId="1" xfId="0" applyNumberFormat="1" applyFont="1" applyFill="1" applyBorder="1" applyAlignment="1">
      <alignment horizontal="center" vertical="center" wrapText="1"/>
    </xf>
    <xf numFmtId="10" fontId="29" fillId="0" borderId="44" xfId="2" applyNumberFormat="1" applyFont="1" applyFill="1" applyBorder="1" applyAlignment="1">
      <alignment horizontal="center" vertical="center" wrapText="1"/>
    </xf>
    <xf numFmtId="10" fontId="29" fillId="0" borderId="32" xfId="2" applyNumberFormat="1" applyFont="1" applyFill="1" applyBorder="1" applyAlignment="1">
      <alignment horizontal="center" vertical="center" wrapText="1"/>
    </xf>
    <xf numFmtId="10" fontId="29" fillId="0" borderId="82" xfId="2" applyNumberFormat="1" applyFont="1" applyFill="1" applyBorder="1" applyAlignment="1">
      <alignment horizontal="center" vertical="center" wrapText="1"/>
    </xf>
    <xf numFmtId="10" fontId="17" fillId="0" borderId="33" xfId="0" applyNumberFormat="1" applyFont="1" applyBorder="1" applyAlignment="1">
      <alignment horizontal="center" vertical="center" wrapText="1"/>
    </xf>
    <xf numFmtId="10" fontId="17" fillId="0" borderId="32" xfId="0" applyNumberFormat="1" applyFont="1" applyBorder="1" applyAlignment="1">
      <alignment horizontal="center" vertical="center" wrapText="1"/>
    </xf>
    <xf numFmtId="10" fontId="17" fillId="0" borderId="82" xfId="0" applyNumberFormat="1" applyFont="1" applyBorder="1" applyAlignment="1">
      <alignment horizontal="center" vertical="center" wrapText="1"/>
    </xf>
    <xf numFmtId="9" fontId="0" fillId="8" borderId="78" xfId="0" applyNumberFormat="1" applyFill="1" applyBorder="1" applyAlignment="1">
      <alignment horizontal="center" vertical="center" wrapText="1"/>
    </xf>
    <xf numFmtId="10" fontId="0" fillId="8" borderId="1" xfId="0" applyNumberFormat="1" applyFill="1" applyBorder="1" applyAlignment="1">
      <alignment horizontal="center" vertical="center" wrapText="1"/>
    </xf>
    <xf numFmtId="10" fontId="0" fillId="8" borderId="78" xfId="0" applyNumberFormat="1" applyFill="1" applyBorder="1" applyAlignment="1">
      <alignment horizontal="center" vertical="center" wrapText="1"/>
    </xf>
    <xf numFmtId="9" fontId="0" fillId="0" borderId="44" xfId="0" applyNumberFormat="1" applyBorder="1" applyAlignment="1">
      <alignment horizontal="center" vertical="center" wrapText="1"/>
    </xf>
    <xf numFmtId="9" fontId="1" fillId="0" borderId="33" xfId="0" applyNumberFormat="1" applyFont="1" applyBorder="1" applyAlignment="1">
      <alignment horizontal="center" vertical="center" wrapText="1"/>
    </xf>
    <xf numFmtId="9" fontId="40" fillId="16" borderId="33" xfId="0" applyNumberFormat="1" applyFont="1" applyFill="1" applyBorder="1" applyAlignment="1">
      <alignment horizontal="center" vertical="center" wrapText="1"/>
    </xf>
    <xf numFmtId="9" fontId="40" fillId="16" borderId="32" xfId="0" applyNumberFormat="1" applyFont="1" applyFill="1" applyBorder="1" applyAlignment="1">
      <alignment horizontal="center" vertical="center" wrapText="1"/>
    </xf>
    <xf numFmtId="9" fontId="40" fillId="16" borderId="7" xfId="0" applyNumberFormat="1" applyFont="1" applyFill="1" applyBorder="1" applyAlignment="1">
      <alignment horizontal="center" vertical="center" wrapText="1"/>
    </xf>
    <xf numFmtId="9" fontId="0" fillId="0" borderId="33" xfId="2" applyFont="1" applyFill="1" applyBorder="1" applyAlignment="1">
      <alignment horizontal="center" vertical="center" wrapText="1"/>
    </xf>
    <xf numFmtId="0" fontId="0" fillId="0" borderId="115" xfId="0" applyBorder="1" applyAlignment="1">
      <alignment horizontal="center" vertical="center" wrapText="1"/>
    </xf>
    <xf numFmtId="0" fontId="0" fillId="0" borderId="118" xfId="0" applyBorder="1" applyAlignment="1">
      <alignment horizontal="center" vertical="center" wrapText="1"/>
    </xf>
    <xf numFmtId="9" fontId="0" fillId="0" borderId="82" xfId="0" applyNumberFormat="1" applyBorder="1" applyAlignment="1">
      <alignment horizontal="center" vertical="center" wrapText="1"/>
    </xf>
    <xf numFmtId="0" fontId="6" fillId="0" borderId="122" xfId="0" applyFont="1" applyBorder="1" applyAlignment="1">
      <alignment horizontal="center" vertical="center"/>
    </xf>
    <xf numFmtId="0" fontId="6" fillId="0" borderId="98" xfId="0" applyFont="1" applyBorder="1" applyAlignment="1">
      <alignment horizontal="center" vertical="center"/>
    </xf>
    <xf numFmtId="0" fontId="6" fillId="0" borderId="123" xfId="0" applyFont="1" applyBorder="1" applyAlignment="1">
      <alignment horizontal="center" vertical="center"/>
    </xf>
    <xf numFmtId="0" fontId="39" fillId="0" borderId="122" xfId="0" applyFont="1" applyBorder="1" applyAlignment="1">
      <alignment horizontal="center" vertical="center"/>
    </xf>
    <xf numFmtId="0" fontId="39" fillId="0" borderId="98" xfId="0" applyFont="1" applyBorder="1" applyAlignment="1">
      <alignment horizontal="center" vertical="center"/>
    </xf>
    <xf numFmtId="0" fontId="39" fillId="0" borderId="123" xfId="0" applyFont="1" applyBorder="1" applyAlignment="1">
      <alignment horizontal="center" vertical="center"/>
    </xf>
    <xf numFmtId="0" fontId="0" fillId="0" borderId="60" xfId="0" applyBorder="1" applyAlignment="1">
      <alignment horizontal="center" vertical="center" wrapText="1"/>
    </xf>
    <xf numFmtId="0" fontId="0" fillId="0" borderId="50" xfId="0" applyBorder="1" applyAlignment="1">
      <alignment horizontal="center" vertical="center" wrapText="1"/>
    </xf>
    <xf numFmtId="0" fontId="0" fillId="0" borderId="42" xfId="0" applyBorder="1" applyAlignment="1">
      <alignment horizontal="center" vertical="center" wrapText="1"/>
    </xf>
    <xf numFmtId="166" fontId="30" fillId="8" borderId="7" xfId="1" applyNumberFormat="1" applyFont="1" applyFill="1" applyBorder="1" applyAlignment="1">
      <alignment horizontal="center" vertical="center" wrapText="1"/>
    </xf>
    <xf numFmtId="166" fontId="30" fillId="8" borderId="1" xfId="1" applyNumberFormat="1" applyFont="1" applyFill="1" applyBorder="1" applyAlignment="1">
      <alignment horizontal="center" vertical="center" wrapText="1"/>
    </xf>
    <xf numFmtId="0" fontId="29" fillId="0" borderId="1" xfId="0" applyFont="1" applyBorder="1" applyAlignment="1">
      <alignment horizontal="center" vertical="center" wrapText="1"/>
    </xf>
    <xf numFmtId="0" fontId="29" fillId="0" borderId="78" xfId="0" applyFont="1" applyBorder="1" applyAlignment="1">
      <alignment horizontal="center" vertical="center" wrapText="1"/>
    </xf>
    <xf numFmtId="0" fontId="0" fillId="0" borderId="39" xfId="0" applyBorder="1" applyAlignment="1">
      <alignment horizontal="center" vertical="center" wrapText="1"/>
    </xf>
    <xf numFmtId="0" fontId="0" fillId="0" borderId="74" xfId="0" applyBorder="1" applyAlignment="1">
      <alignment horizontal="center" vertical="center" wrapText="1"/>
    </xf>
    <xf numFmtId="9" fontId="40" fillId="16" borderId="36" xfId="0" applyNumberFormat="1" applyFont="1" applyFill="1" applyBorder="1" applyAlignment="1">
      <alignment horizontal="center" vertical="center" wrapText="1"/>
    </xf>
    <xf numFmtId="9" fontId="40" fillId="16" borderId="35" xfId="0" applyNumberFormat="1" applyFont="1" applyFill="1" applyBorder="1" applyAlignment="1">
      <alignment horizontal="center" vertical="center" wrapText="1"/>
    </xf>
    <xf numFmtId="9" fontId="40" fillId="16" borderId="22" xfId="0" applyNumberFormat="1" applyFont="1" applyFill="1" applyBorder="1" applyAlignment="1">
      <alignment horizontal="center" vertical="center" wrapText="1"/>
    </xf>
    <xf numFmtId="9" fontId="0" fillId="0" borderId="80" xfId="2" applyFont="1" applyFill="1" applyBorder="1" applyAlignment="1">
      <alignment horizontal="center" vertical="center" wrapText="1"/>
    </xf>
    <xf numFmtId="9" fontId="17" fillId="8" borderId="2" xfId="0" applyNumberFormat="1" applyFont="1" applyFill="1" applyBorder="1" applyAlignment="1">
      <alignment horizontal="center" vertical="center" wrapText="1"/>
    </xf>
    <xf numFmtId="0" fontId="17" fillId="8" borderId="2" xfId="0" applyFont="1" applyFill="1" applyBorder="1" applyAlignment="1">
      <alignment horizontal="center" vertical="center" wrapText="1"/>
    </xf>
    <xf numFmtId="9" fontId="17" fillId="8" borderId="7"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9" fontId="0" fillId="0" borderId="73" xfId="0" applyNumberFormat="1" applyBorder="1" applyAlignment="1">
      <alignment horizontal="center" vertical="center" wrapText="1"/>
    </xf>
    <xf numFmtId="9" fontId="0" fillId="0" borderId="106" xfId="0" applyNumberFormat="1" applyBorder="1" applyAlignment="1">
      <alignment horizontal="center" vertical="center" wrapText="1"/>
    </xf>
    <xf numFmtId="9" fontId="0" fillId="0" borderId="107" xfId="0" applyNumberFormat="1" applyBorder="1" applyAlignment="1">
      <alignment horizontal="center" vertical="center" wrapText="1"/>
    </xf>
    <xf numFmtId="0" fontId="0" fillId="0" borderId="111" xfId="0" applyBorder="1" applyAlignment="1">
      <alignment horizontal="center" vertical="center" wrapText="1"/>
    </xf>
    <xf numFmtId="0" fontId="2" fillId="0" borderId="105" xfId="0" applyFont="1" applyBorder="1" applyAlignment="1">
      <alignment horizontal="center" vertical="center" wrapText="1"/>
    </xf>
    <xf numFmtId="9" fontId="1" fillId="8" borderId="2" xfId="0" applyNumberFormat="1" applyFont="1" applyFill="1" applyBorder="1" applyAlignment="1">
      <alignment horizontal="center" vertical="center" wrapText="1"/>
    </xf>
    <xf numFmtId="0" fontId="1" fillId="8" borderId="2" xfId="0" applyFont="1" applyFill="1" applyBorder="1" applyAlignment="1">
      <alignment horizontal="center" vertical="center" wrapText="1"/>
    </xf>
    <xf numFmtId="9" fontId="0" fillId="0" borderId="80" xfId="0" applyNumberFormat="1" applyBorder="1" applyAlignment="1">
      <alignment horizontal="center" vertical="center" wrapText="1"/>
    </xf>
    <xf numFmtId="9" fontId="17" fillId="0" borderId="7" xfId="0" applyNumberFormat="1" applyFont="1" applyBorder="1" applyAlignment="1">
      <alignment horizontal="center" vertical="center" wrapText="1"/>
    </xf>
    <xf numFmtId="1" fontId="0" fillId="8" borderId="22" xfId="0" applyNumberFormat="1" applyFill="1" applyBorder="1" applyAlignment="1">
      <alignment horizontal="center" vertical="center" wrapText="1"/>
    </xf>
    <xf numFmtId="1" fontId="0" fillId="8" borderId="11" xfId="0" applyNumberFormat="1" applyFill="1" applyBorder="1" applyAlignment="1">
      <alignment horizontal="center" vertical="center" wrapText="1"/>
    </xf>
    <xf numFmtId="9" fontId="7" fillId="7" borderId="7" xfId="2" applyFont="1" applyFill="1" applyBorder="1" applyAlignment="1">
      <alignment horizontal="center" vertical="center" wrapText="1"/>
    </xf>
    <xf numFmtId="9" fontId="7" fillId="7" borderId="1" xfId="2" applyFont="1" applyFill="1" applyBorder="1" applyAlignment="1">
      <alignment horizontal="center" vertical="center" wrapText="1"/>
    </xf>
    <xf numFmtId="9" fontId="29" fillId="8" borderId="1" xfId="2" applyFont="1" applyFill="1" applyBorder="1" applyAlignment="1">
      <alignment horizontal="center" vertical="center" wrapText="1"/>
    </xf>
    <xf numFmtId="9" fontId="0" fillId="7" borderId="24" xfId="0" applyNumberFormat="1" applyFill="1" applyBorder="1" applyAlignment="1">
      <alignment horizontal="center" vertical="center" wrapText="1"/>
    </xf>
    <xf numFmtId="20" fontId="0" fillId="7" borderId="2" xfId="0" applyNumberFormat="1" applyFill="1" applyBorder="1" applyAlignment="1">
      <alignment horizontal="center" vertical="center" wrapText="1"/>
    </xf>
    <xf numFmtId="9" fontId="0" fillId="8" borderId="30" xfId="0" applyNumberFormat="1" applyFill="1" applyBorder="1" applyAlignment="1">
      <alignment horizontal="center" vertical="center" wrapText="1"/>
    </xf>
    <xf numFmtId="9" fontId="0" fillId="8" borderId="29" xfId="0" applyNumberFormat="1" applyFill="1" applyBorder="1" applyAlignment="1">
      <alignment horizontal="center" vertical="center" wrapText="1"/>
    </xf>
    <xf numFmtId="20" fontId="0" fillId="8" borderId="2" xfId="0" applyNumberFormat="1" applyFill="1" applyBorder="1" applyAlignment="1">
      <alignment horizontal="center" vertical="center" wrapText="1"/>
    </xf>
    <xf numFmtId="0" fontId="0" fillId="0" borderId="24" xfId="0" applyBorder="1" applyAlignment="1">
      <alignment horizontal="center" vertical="center" wrapText="1"/>
    </xf>
    <xf numFmtId="9" fontId="1" fillId="7" borderId="45" xfId="0" applyNumberFormat="1" applyFont="1" applyFill="1" applyBorder="1" applyAlignment="1">
      <alignment horizontal="center" vertical="center" wrapText="1"/>
    </xf>
    <xf numFmtId="9" fontId="1" fillId="7" borderId="29" xfId="0" applyNumberFormat="1" applyFont="1" applyFill="1" applyBorder="1" applyAlignment="1">
      <alignment horizontal="center" vertical="center" wrapText="1"/>
    </xf>
    <xf numFmtId="9" fontId="1" fillId="7" borderId="24" xfId="0" applyNumberFormat="1" applyFont="1" applyFill="1" applyBorder="1" applyAlignment="1">
      <alignment horizontal="center" vertical="center" wrapText="1"/>
    </xf>
    <xf numFmtId="9" fontId="17" fillId="8" borderId="30" xfId="0" applyNumberFormat="1" applyFont="1" applyFill="1" applyBorder="1" applyAlignment="1">
      <alignment horizontal="center" vertical="center" wrapText="1"/>
    </xf>
    <xf numFmtId="9" fontId="17" fillId="8" borderId="24" xfId="0" applyNumberFormat="1" applyFont="1" applyFill="1" applyBorder="1" applyAlignment="1">
      <alignment horizontal="center" vertical="center" wrapText="1"/>
    </xf>
    <xf numFmtId="9" fontId="17" fillId="0" borderId="30" xfId="0" applyNumberFormat="1" applyFont="1" applyBorder="1" applyAlignment="1">
      <alignment horizontal="center" vertical="center" wrapText="1"/>
    </xf>
    <xf numFmtId="9" fontId="17" fillId="0" borderId="29" xfId="0" applyNumberFormat="1" applyFont="1" applyBorder="1" applyAlignment="1">
      <alignment horizontal="center" vertical="center" wrapText="1"/>
    </xf>
    <xf numFmtId="9" fontId="17" fillId="0" borderId="81" xfId="0" applyNumberFormat="1" applyFont="1" applyBorder="1" applyAlignment="1">
      <alignment horizontal="center" vertical="center" wrapText="1"/>
    </xf>
    <xf numFmtId="9" fontId="17" fillId="0" borderId="44" xfId="0" applyNumberFormat="1" applyFont="1" applyBorder="1" applyAlignment="1">
      <alignment horizontal="center" vertical="center" wrapText="1"/>
    </xf>
    <xf numFmtId="9" fontId="17" fillId="0" borderId="32" xfId="0" applyNumberFormat="1" applyFont="1" applyBorder="1" applyAlignment="1">
      <alignment horizontal="center" vertical="center" wrapText="1"/>
    </xf>
    <xf numFmtId="9" fontId="17" fillId="0" borderId="82" xfId="0" applyNumberFormat="1" applyFont="1" applyBorder="1" applyAlignment="1">
      <alignment horizontal="center" vertical="center" wrapText="1"/>
    </xf>
    <xf numFmtId="0" fontId="1" fillId="8" borderId="117" xfId="0" applyFont="1" applyFill="1" applyBorder="1" applyAlignment="1">
      <alignment horizontal="center" vertical="center" wrapText="1"/>
    </xf>
    <xf numFmtId="0" fontId="2" fillId="0" borderId="113" xfId="0" applyFont="1" applyBorder="1" applyAlignment="1">
      <alignment horizontal="center" vertical="center" wrapText="1"/>
    </xf>
    <xf numFmtId="4" fontId="17" fillId="0" borderId="44" xfId="1" applyNumberFormat="1" applyFont="1" applyFill="1" applyBorder="1" applyAlignment="1">
      <alignment horizontal="center" vertical="center" wrapText="1"/>
    </xf>
    <xf numFmtId="4" fontId="17" fillId="0" borderId="32" xfId="1" applyNumberFormat="1" applyFont="1" applyFill="1" applyBorder="1" applyAlignment="1">
      <alignment horizontal="center" vertical="center" wrapText="1"/>
    </xf>
    <xf numFmtId="4" fontId="17" fillId="0" borderId="34" xfId="1" applyNumberFormat="1" applyFont="1" applyFill="1" applyBorder="1" applyAlignment="1">
      <alignment horizontal="center" vertical="center" wrapText="1"/>
    </xf>
    <xf numFmtId="4" fontId="17" fillId="8" borderId="44" xfId="1" applyNumberFormat="1" applyFont="1" applyFill="1" applyBorder="1" applyAlignment="1">
      <alignment horizontal="center" vertical="center" wrapText="1"/>
    </xf>
    <xf numFmtId="4" fontId="17" fillId="8" borderId="32" xfId="1" applyNumberFormat="1" applyFont="1" applyFill="1" applyBorder="1" applyAlignment="1">
      <alignment horizontal="center" vertical="center" wrapText="1"/>
    </xf>
    <xf numFmtId="4" fontId="17" fillId="8" borderId="34" xfId="1" applyNumberFormat="1" applyFont="1" applyFill="1" applyBorder="1" applyAlignment="1">
      <alignment horizontal="center" vertical="center" wrapText="1"/>
    </xf>
    <xf numFmtId="4" fontId="17" fillId="0" borderId="82" xfId="1" applyNumberFormat="1" applyFont="1" applyFill="1" applyBorder="1" applyAlignment="1">
      <alignment horizontal="center" vertical="center" wrapText="1"/>
    </xf>
    <xf numFmtId="0" fontId="0" fillId="0" borderId="36" xfId="2" applyNumberFormat="1" applyFont="1" applyBorder="1" applyAlignment="1">
      <alignment horizontal="center" vertical="center" wrapText="1"/>
    </xf>
    <xf numFmtId="0" fontId="0" fillId="0" borderId="35" xfId="2" applyNumberFormat="1" applyFont="1" applyBorder="1" applyAlignment="1">
      <alignment horizontal="center" vertical="center" wrapText="1"/>
    </xf>
    <xf numFmtId="0" fontId="0" fillId="0" borderId="83" xfId="2" applyNumberFormat="1" applyFont="1" applyBorder="1" applyAlignment="1">
      <alignment horizontal="center" vertical="center" wrapText="1"/>
    </xf>
    <xf numFmtId="0" fontId="0" fillId="0" borderId="80" xfId="0" applyBorder="1" applyAlignment="1">
      <alignment horizontal="center" vertical="center" wrapText="1"/>
    </xf>
  </cellXfs>
  <cellStyles count="10">
    <cellStyle name="Milliers" xfId="1" builtinId="3"/>
    <cellStyle name="Milliers 2" xfId="3"/>
    <cellStyle name="Milliers 2 2" xfId="4"/>
    <cellStyle name="Milliers 2 2 2" xfId="5"/>
    <cellStyle name="Milliers 2 3" xfId="7"/>
    <cellStyle name="Milliers 2 3 2" xfId="9"/>
    <cellStyle name="Milliers 3" xfId="6"/>
    <cellStyle name="Milliers 3 2" xfId="8"/>
    <cellStyle name="Normal" xfId="0" builtinId="0"/>
    <cellStyle name="Pourcentage" xfId="2" builtinId="5"/>
  </cellStyles>
  <dxfs count="1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0</xdr:col>
      <xdr:colOff>729615</xdr:colOff>
      <xdr:row>3</xdr:row>
      <xdr:rowOff>19050</xdr:rowOff>
    </xdr:to>
    <xdr:pic>
      <xdr:nvPicPr>
        <xdr:cNvPr id="2" name="Image 1" descr="logo_ravinala.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38100" y="28575"/>
          <a:ext cx="691515" cy="57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257175</xdr:colOff>
      <xdr:row>0</xdr:row>
      <xdr:rowOff>152400</xdr:rowOff>
    </xdr:from>
    <xdr:to>
      <xdr:col>0</xdr:col>
      <xdr:colOff>948690</xdr:colOff>
      <xdr:row>3</xdr:row>
      <xdr:rowOff>142875</xdr:rowOff>
    </xdr:to>
    <xdr:pic>
      <xdr:nvPicPr>
        <xdr:cNvPr id="2" name="Image 1" descr="logo_ravinala.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257175" y="152400"/>
          <a:ext cx="691515" cy="571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257175</xdr:colOff>
      <xdr:row>0</xdr:row>
      <xdr:rowOff>152400</xdr:rowOff>
    </xdr:from>
    <xdr:to>
      <xdr:col>0</xdr:col>
      <xdr:colOff>948690</xdr:colOff>
      <xdr:row>3</xdr:row>
      <xdr:rowOff>142875</xdr:rowOff>
    </xdr:to>
    <xdr:pic>
      <xdr:nvPicPr>
        <xdr:cNvPr id="2" name="Image 1" descr="logo_ravinala.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57175" y="152400"/>
          <a:ext cx="691515" cy="571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0</xdr:row>
      <xdr:rowOff>152400</xdr:rowOff>
    </xdr:from>
    <xdr:to>
      <xdr:col>0</xdr:col>
      <xdr:colOff>948690</xdr:colOff>
      <xdr:row>3</xdr:row>
      <xdr:rowOff>142875</xdr:rowOff>
    </xdr:to>
    <xdr:pic>
      <xdr:nvPicPr>
        <xdr:cNvPr id="2" name="Image 1" descr="logo_ravinala.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257175" y="152400"/>
          <a:ext cx="691515" cy="571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257175</xdr:colOff>
      <xdr:row>0</xdr:row>
      <xdr:rowOff>152400</xdr:rowOff>
    </xdr:from>
    <xdr:to>
      <xdr:col>0</xdr:col>
      <xdr:colOff>948690</xdr:colOff>
      <xdr:row>3</xdr:row>
      <xdr:rowOff>142875</xdr:rowOff>
    </xdr:to>
    <xdr:pic>
      <xdr:nvPicPr>
        <xdr:cNvPr id="2" name="Image 1" descr="logo_ravinala.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257175" y="152400"/>
          <a:ext cx="691515" cy="571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257175</xdr:colOff>
      <xdr:row>0</xdr:row>
      <xdr:rowOff>152400</xdr:rowOff>
    </xdr:from>
    <xdr:to>
      <xdr:col>0</xdr:col>
      <xdr:colOff>948690</xdr:colOff>
      <xdr:row>0</xdr:row>
      <xdr:rowOff>716915</xdr:rowOff>
    </xdr:to>
    <xdr:pic>
      <xdr:nvPicPr>
        <xdr:cNvPr id="2" name="Image 1" descr="logo_ravinala.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257175" y="152400"/>
          <a:ext cx="691515" cy="571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0</xdr:row>
      <xdr:rowOff>152400</xdr:rowOff>
    </xdr:from>
    <xdr:to>
      <xdr:col>0</xdr:col>
      <xdr:colOff>948690</xdr:colOff>
      <xdr:row>0</xdr:row>
      <xdr:rowOff>716915</xdr:rowOff>
    </xdr:to>
    <xdr:pic>
      <xdr:nvPicPr>
        <xdr:cNvPr id="2" name="Image 1" descr="logo_ravinala.jpg">
          <a:extLst>
            <a:ext uri="{FF2B5EF4-FFF2-40B4-BE49-F238E27FC236}">
              <a16:creationId xmlns:a16="http://schemas.microsoft.com/office/drawing/2014/main" id="{8F273665-0ADB-40FE-AACD-DC2EA8D643C5}"/>
            </a:ext>
          </a:extLst>
        </xdr:cNvPr>
        <xdr:cNvPicPr>
          <a:picLocks noChangeAspect="1"/>
        </xdr:cNvPicPr>
      </xdr:nvPicPr>
      <xdr:blipFill>
        <a:blip xmlns:r="http://schemas.openxmlformats.org/officeDocument/2006/relationships" r:embed="rId1" cstate="print"/>
        <a:stretch>
          <a:fillRect/>
        </a:stretch>
      </xdr:blipFill>
      <xdr:spPr>
        <a:xfrm>
          <a:off x="257175" y="152400"/>
          <a:ext cx="691515" cy="5645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ravninalaairports-my.sharepoint.com/Users/00005/AppData/Local/Microsoft/Windows/INetCache/Content.Outlook/37SWFL0K/QUA-LST-003%20Tableau%20de%20bord%20MCE%202302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DB 2019"/>
      <sheetName val="TDB 2020"/>
      <sheetName val="TDB 2021"/>
      <sheetName val="TDB 2022"/>
      <sheetName val="CALCUL MOYENNE EQP CRT"/>
      <sheetName val="CALCUL CONSO"/>
    </sheetNames>
    <sheetDataSet>
      <sheetData sheetId="0"/>
      <sheetData sheetId="1"/>
      <sheetData sheetId="2"/>
      <sheetData sheetId="3"/>
      <sheetData sheetId="4">
        <row r="23">
          <cell r="D23">
            <v>0.75</v>
          </cell>
          <cell r="E23">
            <v>0.74</v>
          </cell>
        </row>
        <row r="24">
          <cell r="D24">
            <v>0.99937500000000001</v>
          </cell>
          <cell r="E24">
            <v>0.99937500000000001</v>
          </cell>
        </row>
        <row r="31">
          <cell r="D31">
            <v>0.68</v>
          </cell>
          <cell r="E31">
            <v>0.68</v>
          </cell>
        </row>
        <row r="32">
          <cell r="D32">
            <v>0.99833333333333341</v>
          </cell>
          <cell r="E32">
            <v>0.99833333333333341</v>
          </cell>
        </row>
      </sheetData>
      <sheetData sheetId="5">
        <row r="8">
          <cell r="N8">
            <v>-3.0385079184380253E-2</v>
          </cell>
          <cell r="O8">
            <v>-0.17683325518573992</v>
          </cell>
        </row>
        <row r="16">
          <cell r="N16">
            <v>-0.40514798044446138</v>
          </cell>
          <cell r="O16">
            <v>-0.33409613678860689</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3" dT="2025-02-27T12:36:21.90" personId="{00000000-0000-0000-0000-000000000000}" id="{82BFC6F2-141E-4C28-A93B-6A82479438F6}">
    <text xml:space="preserve">Donnée de janv - nov </text>
  </threadedComment>
  <threadedComment ref="F37" dT="2025-02-17T12:36:39.10" personId="{00000000-0000-0000-0000-000000000000}" id="{7A5E6ECF-6604-40D1-BDC5-6720815E07E7}">
    <text>Taux de change 1 EU = 4997 MGA</text>
  </threadedComment>
  <threadedComment ref="H76" dT="2025-01-14T11:45:09.60" personId="{00000000-0000-0000-0000-000000000000}" id="{984A9A15-02B1-458A-94D7-C9B3FBFDA4BB}">
    <text>FMA</text>
  </threadedComment>
  <threadedComment ref="I76" dT="2024-07-15T05:31:55.04" personId="{00000000-0000-0000-0000-000000000000}" id="{2B69D833-FB27-49E1-B1E0-87FE978B4D35}">
    <text>SESAME</text>
  </threadedComment>
  <threadedComment ref="K76" dT="2024-07-15T05:32:14.45" personId="{00000000-0000-0000-0000-000000000000}" id="{67E0AE28-40A5-41F1-A525-5E67107ED973}">
    <text>Ecoles</text>
  </threadedComment>
  <threadedComment ref="N76" dT="2025-01-14T11:40:58.93" personId="{00000000-0000-0000-0000-000000000000}" id="{527B14D6-4A35-4008-8A31-9866C9961703}">
    <text>APS</text>
  </threadedComment>
  <threadedComment ref="Q76" dT="2025-01-14T11:45:27.19" personId="{00000000-0000-0000-0000-000000000000}" id="{B20E03C7-EE55-437D-B92A-FD132721236C}">
    <text>AFHPMI+Andao</text>
  </threadedComment>
  <threadedComment ref="I77" dT="2024-10-15T10:48:09.31" personId="{00000000-0000-0000-0000-000000000000}" id="{DE582648-8D39-41C2-B7C9-5A43ED18D001}">
    <text>2 services non retournés</text>
  </threadedComment>
  <threadedComment ref="F78" dT="2025-01-14T11:51:33.70" personId="{00000000-0000-0000-0000-000000000000}" id="{35234507-2724-4F2E-AF60-F6CF6D95B1E1}">
    <text>En attente livrable auditeur - mise en demeure déjà envoyée</text>
  </threadedComment>
  <threadedComment ref="F79" dT="2025-01-14T11:51:39.65" personId="{00000000-0000-0000-0000-000000000000}" id="{540B77A2-CAFE-4E68-8F62-0B4E0B22F7B3}">
    <text>En attente livrable auditeur - mise en demeure déjà envoyée</text>
  </threadedComment>
  <threadedComment ref="M85" dT="2024-10-02T09:45:30.87" personId="{00000000-0000-0000-0000-000000000000}" id="{EC0E3C8A-8FA5-406A-8F65-B63D289EA3FE}">
    <text>priorisation de tickets / alerte de monitoring des infrastructures / dépendance prestataires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00209/Desktop/MGT-ENR-001%20Rapport%20de%20revue%20de%20processus-CDF%20100221.doc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292"/>
  <sheetViews>
    <sheetView showGridLines="0" workbookViewId="0">
      <pane xSplit="3" ySplit="6" topLeftCell="D7" activePane="bottomRight" state="frozen"/>
      <selection pane="topRight" activeCell="D1" sqref="D1"/>
      <selection pane="bottomLeft" activeCell="A7" sqref="A7"/>
      <selection pane="bottomRight" activeCell="C13" sqref="C13"/>
    </sheetView>
  </sheetViews>
  <sheetFormatPr baseColWidth="10" defaultRowHeight="14.4" x14ac:dyDescent="0.3"/>
  <cols>
    <col min="1" max="1" width="16.109375" customWidth="1"/>
    <col min="2" max="2" width="31.33203125" customWidth="1"/>
    <col min="3" max="3" width="16.6640625" customWidth="1"/>
    <col min="4" max="15" width="17.109375" customWidth="1"/>
  </cols>
  <sheetData>
    <row r="1" spans="1:15" ht="15.6" x14ac:dyDescent="0.3">
      <c r="A1" s="1"/>
      <c r="B1" s="1"/>
      <c r="C1" s="3"/>
      <c r="D1" s="3"/>
      <c r="E1" s="3" t="s">
        <v>2</v>
      </c>
      <c r="F1" s="4"/>
      <c r="M1" s="39" t="s">
        <v>137</v>
      </c>
    </row>
    <row r="2" spans="1:15" x14ac:dyDescent="0.3">
      <c r="A2" s="1"/>
      <c r="B2" s="1"/>
      <c r="C2" s="1"/>
      <c r="D2" s="1"/>
      <c r="E2" s="1"/>
      <c r="F2" s="1"/>
    </row>
    <row r="3" spans="1:15" x14ac:dyDescent="0.3">
      <c r="A3" s="1"/>
      <c r="B3" s="1"/>
      <c r="C3" s="1"/>
      <c r="D3" s="2" t="s">
        <v>65</v>
      </c>
      <c r="E3" s="854">
        <v>43937</v>
      </c>
      <c r="F3" s="854"/>
    </row>
    <row r="4" spans="1:15" x14ac:dyDescent="0.3">
      <c r="A4" s="1"/>
      <c r="B4" s="1"/>
      <c r="C4" s="1"/>
      <c r="D4" s="1"/>
      <c r="E4" s="1"/>
      <c r="F4" s="1"/>
    </row>
    <row r="5" spans="1:15" x14ac:dyDescent="0.3">
      <c r="A5" s="1"/>
      <c r="B5" s="1"/>
      <c r="C5" s="1"/>
      <c r="D5" s="860" t="s">
        <v>24</v>
      </c>
      <c r="E5" s="858"/>
      <c r="F5" s="861"/>
      <c r="G5" s="857" t="s">
        <v>25</v>
      </c>
      <c r="H5" s="858"/>
      <c r="I5" s="861"/>
      <c r="J5" s="857" t="s">
        <v>26</v>
      </c>
      <c r="K5" s="858"/>
      <c r="L5" s="861"/>
      <c r="M5" s="857" t="s">
        <v>27</v>
      </c>
      <c r="N5" s="858"/>
      <c r="O5" s="859"/>
    </row>
    <row r="6" spans="1:15" s="6" customFormat="1" x14ac:dyDescent="0.3">
      <c r="A6" s="9" t="s">
        <v>0</v>
      </c>
      <c r="B6" s="10" t="s">
        <v>15</v>
      </c>
      <c r="C6" s="11" t="s">
        <v>16</v>
      </c>
      <c r="D6" s="30" t="s">
        <v>3</v>
      </c>
      <c r="E6" s="31" t="s">
        <v>4</v>
      </c>
      <c r="F6" s="31" t="s">
        <v>5</v>
      </c>
      <c r="G6" s="31" t="s">
        <v>6</v>
      </c>
      <c r="H6" s="31" t="s">
        <v>7</v>
      </c>
      <c r="I6" s="31" t="s">
        <v>8</v>
      </c>
      <c r="J6" s="31" t="s">
        <v>9</v>
      </c>
      <c r="K6" s="31" t="s">
        <v>10</v>
      </c>
      <c r="L6" s="31" t="s">
        <v>11</v>
      </c>
      <c r="M6" s="31" t="s">
        <v>12</v>
      </c>
      <c r="N6" s="31" t="s">
        <v>13</v>
      </c>
      <c r="O6" s="32" t="s">
        <v>14</v>
      </c>
    </row>
    <row r="7" spans="1:15" s="6" customFormat="1" ht="30.75" customHeight="1" x14ac:dyDescent="0.3">
      <c r="A7" s="817" t="s">
        <v>22</v>
      </c>
      <c r="B7" s="7" t="s">
        <v>77</v>
      </c>
      <c r="C7" s="33"/>
      <c r="D7" s="794">
        <v>6</v>
      </c>
      <c r="E7" s="794"/>
      <c r="F7" s="800"/>
      <c r="G7" s="796">
        <v>7</v>
      </c>
      <c r="H7" s="794"/>
      <c r="I7" s="800"/>
      <c r="J7" s="796">
        <v>10</v>
      </c>
      <c r="K7" s="794"/>
      <c r="L7" s="800"/>
      <c r="M7" s="796"/>
      <c r="N7" s="794"/>
      <c r="O7" s="795"/>
    </row>
    <row r="8" spans="1:15" s="6" customFormat="1" ht="30.75" customHeight="1" x14ac:dyDescent="0.3">
      <c r="A8" s="818"/>
      <c r="B8" s="63" t="s">
        <v>78</v>
      </c>
      <c r="C8" s="33"/>
      <c r="D8" s="813"/>
      <c r="E8" s="811"/>
      <c r="F8" s="812"/>
      <c r="G8" s="810"/>
      <c r="H8" s="811"/>
      <c r="I8" s="812"/>
      <c r="J8" s="41"/>
      <c r="K8" s="40"/>
      <c r="L8" s="27"/>
      <c r="M8" s="41"/>
      <c r="N8" s="40"/>
      <c r="O8" s="42"/>
    </row>
    <row r="9" spans="1:15" s="6" customFormat="1" ht="30.75" customHeight="1" x14ac:dyDescent="0.3">
      <c r="A9" s="818"/>
      <c r="B9" s="5" t="s">
        <v>76</v>
      </c>
      <c r="C9" s="34"/>
      <c r="D9" s="813">
        <v>20</v>
      </c>
      <c r="E9" s="811"/>
      <c r="F9" s="811"/>
      <c r="G9" s="811"/>
      <c r="H9" s="811"/>
      <c r="I9" s="812"/>
      <c r="J9" s="810"/>
      <c r="K9" s="811"/>
      <c r="L9" s="811"/>
      <c r="M9" s="811"/>
      <c r="N9" s="811"/>
      <c r="O9" s="814"/>
    </row>
    <row r="10" spans="1:15" s="6" customFormat="1" ht="30.75" customHeight="1" x14ac:dyDescent="0.3">
      <c r="A10" s="819"/>
      <c r="B10" s="13" t="s">
        <v>23</v>
      </c>
      <c r="C10" s="35"/>
      <c r="D10" s="798"/>
      <c r="E10" s="798"/>
      <c r="F10" s="801"/>
      <c r="G10" s="797"/>
      <c r="H10" s="798"/>
      <c r="I10" s="801"/>
      <c r="J10" s="797"/>
      <c r="K10" s="798"/>
      <c r="L10" s="801"/>
      <c r="M10" s="797"/>
      <c r="N10" s="798"/>
      <c r="O10" s="799"/>
    </row>
    <row r="11" spans="1:15" s="6" customFormat="1" ht="30.75" customHeight="1" x14ac:dyDescent="0.3">
      <c r="A11" s="817" t="s">
        <v>57</v>
      </c>
      <c r="B11" s="12" t="s">
        <v>58</v>
      </c>
      <c r="C11" s="36"/>
      <c r="D11" s="15"/>
      <c r="E11" s="16"/>
      <c r="F11" s="17"/>
      <c r="G11" s="17"/>
      <c r="H11" s="17"/>
      <c r="I11" s="17"/>
      <c r="J11" s="17"/>
      <c r="K11" s="17"/>
      <c r="L11" s="17"/>
      <c r="M11" s="17"/>
      <c r="N11" s="17"/>
      <c r="O11" s="18"/>
    </row>
    <row r="12" spans="1:15" s="6" customFormat="1" ht="30.75" customHeight="1" x14ac:dyDescent="0.3">
      <c r="A12" s="819"/>
      <c r="B12" s="8" t="s">
        <v>59</v>
      </c>
      <c r="C12" s="37"/>
      <c r="D12" s="23"/>
      <c r="E12" s="24"/>
      <c r="F12" s="25"/>
      <c r="G12" s="25"/>
      <c r="H12" s="25"/>
      <c r="I12" s="25"/>
      <c r="J12" s="25"/>
      <c r="K12" s="25"/>
      <c r="L12" s="25"/>
      <c r="M12" s="25"/>
      <c r="N12" s="25"/>
      <c r="O12" s="26"/>
    </row>
    <row r="13" spans="1:15" s="6" customFormat="1" ht="30.75" customHeight="1" x14ac:dyDescent="0.3">
      <c r="A13" s="817" t="s">
        <v>75</v>
      </c>
      <c r="B13" s="12" t="s">
        <v>37</v>
      </c>
      <c r="C13" s="70" t="s">
        <v>140</v>
      </c>
      <c r="D13" s="73">
        <v>93898.05148939864</v>
      </c>
      <c r="E13" s="74">
        <v>70031.744237158404</v>
      </c>
      <c r="F13" s="74">
        <v>88107.546846675294</v>
      </c>
      <c r="G13" s="74">
        <v>99754.581618126598</v>
      </c>
      <c r="H13" s="74">
        <v>97692.211802205609</v>
      </c>
      <c r="I13" s="74">
        <v>97721.680349138478</v>
      </c>
      <c r="J13" s="74">
        <v>136141.4024361241</v>
      </c>
      <c r="K13" s="74">
        <v>154289.45180760042</v>
      </c>
      <c r="L13" s="74">
        <v>130238.75557567399</v>
      </c>
      <c r="M13" s="74">
        <v>131859.23544713817</v>
      </c>
      <c r="N13" s="74">
        <v>113406.23711449729</v>
      </c>
      <c r="O13" s="74">
        <v>118199.22859277177</v>
      </c>
    </row>
    <row r="14" spans="1:15" s="6" customFormat="1" ht="55.2" x14ac:dyDescent="0.3">
      <c r="A14" s="818"/>
      <c r="B14" s="5" t="s">
        <v>122</v>
      </c>
      <c r="C14" s="71" t="s">
        <v>141</v>
      </c>
      <c r="D14" s="804">
        <v>40</v>
      </c>
      <c r="E14" s="804"/>
      <c r="F14" s="805"/>
      <c r="G14" s="804">
        <v>40</v>
      </c>
      <c r="H14" s="804"/>
      <c r="I14" s="805"/>
      <c r="J14" s="804">
        <v>40</v>
      </c>
      <c r="K14" s="804"/>
      <c r="L14" s="805"/>
      <c r="M14" s="806">
        <v>20</v>
      </c>
      <c r="N14" s="804"/>
      <c r="O14" s="805"/>
    </row>
    <row r="15" spans="1:15" s="6" customFormat="1" ht="55.2" x14ac:dyDescent="0.3">
      <c r="A15" s="818"/>
      <c r="B15" s="5" t="s">
        <v>38</v>
      </c>
      <c r="C15" s="71" t="s">
        <v>142</v>
      </c>
      <c r="D15" s="804">
        <v>12</v>
      </c>
      <c r="E15" s="804"/>
      <c r="F15" s="805"/>
      <c r="G15" s="806">
        <v>15</v>
      </c>
      <c r="H15" s="804"/>
      <c r="I15" s="805"/>
      <c r="J15" s="806">
        <v>10</v>
      </c>
      <c r="K15" s="804"/>
      <c r="L15" s="805"/>
      <c r="M15" s="806">
        <v>18</v>
      </c>
      <c r="N15" s="804"/>
      <c r="O15" s="842"/>
    </row>
    <row r="16" spans="1:15" s="6" customFormat="1" ht="30.75" customHeight="1" x14ac:dyDescent="0.3">
      <c r="A16" s="819"/>
      <c r="B16" s="8" t="s">
        <v>39</v>
      </c>
      <c r="C16" s="72" t="s">
        <v>131</v>
      </c>
      <c r="D16" s="807">
        <v>0.75</v>
      </c>
      <c r="E16" s="808"/>
      <c r="F16" s="809"/>
      <c r="G16" s="807">
        <v>0.75</v>
      </c>
      <c r="H16" s="808"/>
      <c r="I16" s="809"/>
      <c r="J16" s="807">
        <v>0.75</v>
      </c>
      <c r="K16" s="808"/>
      <c r="L16" s="809"/>
      <c r="M16" s="807">
        <v>0.75</v>
      </c>
      <c r="N16" s="808"/>
      <c r="O16" s="809"/>
    </row>
    <row r="17" spans="1:15" s="6" customFormat="1" ht="28.8" x14ac:dyDescent="0.3">
      <c r="A17" s="817" t="s">
        <v>42</v>
      </c>
      <c r="B17" s="12" t="s">
        <v>40</v>
      </c>
      <c r="C17" s="36" t="s">
        <v>96</v>
      </c>
      <c r="D17" s="843">
        <v>1</v>
      </c>
      <c r="E17" s="794"/>
      <c r="F17" s="800"/>
      <c r="G17" s="815">
        <v>0.88</v>
      </c>
      <c r="H17" s="794"/>
      <c r="I17" s="800"/>
      <c r="J17" s="815">
        <v>1</v>
      </c>
      <c r="K17" s="794"/>
      <c r="L17" s="800"/>
      <c r="M17" s="815">
        <v>0.91</v>
      </c>
      <c r="N17" s="794"/>
      <c r="O17" s="795"/>
    </row>
    <row r="18" spans="1:15" s="6" customFormat="1" ht="43.2" x14ac:dyDescent="0.3">
      <c r="A18" s="818"/>
      <c r="B18" s="5" t="s">
        <v>139</v>
      </c>
      <c r="C18" s="34" t="s">
        <v>133</v>
      </c>
      <c r="D18" s="811">
        <v>0</v>
      </c>
      <c r="E18" s="811"/>
      <c r="F18" s="812"/>
      <c r="G18" s="810">
        <v>2</v>
      </c>
      <c r="H18" s="811"/>
      <c r="I18" s="812"/>
      <c r="J18" s="810">
        <v>2</v>
      </c>
      <c r="K18" s="811"/>
      <c r="L18" s="812"/>
      <c r="M18" s="810">
        <v>8</v>
      </c>
      <c r="N18" s="811"/>
      <c r="O18" s="814"/>
    </row>
    <row r="19" spans="1:15" s="6" customFormat="1" ht="30.75" customHeight="1" x14ac:dyDescent="0.3">
      <c r="A19" s="819"/>
      <c r="B19" s="8" t="s">
        <v>41</v>
      </c>
      <c r="C19" s="37" t="s">
        <v>138</v>
      </c>
      <c r="D19" s="802">
        <v>5</v>
      </c>
      <c r="E19" s="802"/>
      <c r="F19" s="803"/>
      <c r="G19" s="816">
        <v>10</v>
      </c>
      <c r="H19" s="802"/>
      <c r="I19" s="803"/>
      <c r="J19" s="816">
        <v>8</v>
      </c>
      <c r="K19" s="802"/>
      <c r="L19" s="803"/>
      <c r="M19" s="816">
        <v>14</v>
      </c>
      <c r="N19" s="802"/>
      <c r="O19" s="838"/>
    </row>
    <row r="20" spans="1:15" s="6" customFormat="1" ht="30.75" customHeight="1" x14ac:dyDescent="0.3">
      <c r="A20" s="818" t="s">
        <v>29</v>
      </c>
      <c r="B20" s="7" t="s">
        <v>30</v>
      </c>
      <c r="C20" s="33"/>
      <c r="D20" s="794"/>
      <c r="E20" s="794"/>
      <c r="F20" s="800"/>
      <c r="G20" s="796"/>
      <c r="H20" s="794"/>
      <c r="I20" s="800"/>
      <c r="J20" s="796"/>
      <c r="K20" s="794"/>
      <c r="L20" s="800"/>
      <c r="M20" s="796"/>
      <c r="N20" s="794"/>
      <c r="O20" s="795"/>
    </row>
    <row r="21" spans="1:15" s="6" customFormat="1" ht="30.75" customHeight="1" x14ac:dyDescent="0.3">
      <c r="A21" s="819"/>
      <c r="B21" s="8" t="s">
        <v>79</v>
      </c>
      <c r="C21" s="37" t="s">
        <v>80</v>
      </c>
      <c r="D21" s="802"/>
      <c r="E21" s="802"/>
      <c r="F21" s="803"/>
      <c r="G21" s="816"/>
      <c r="H21" s="802"/>
      <c r="I21" s="803"/>
      <c r="J21" s="816"/>
      <c r="K21" s="802"/>
      <c r="L21" s="803"/>
      <c r="M21" s="816"/>
      <c r="N21" s="802"/>
      <c r="O21" s="838"/>
    </row>
    <row r="22" spans="1:15" s="6" customFormat="1" ht="30.75" customHeight="1" x14ac:dyDescent="0.3">
      <c r="A22" s="817" t="s">
        <v>43</v>
      </c>
      <c r="B22" s="7" t="s">
        <v>44</v>
      </c>
      <c r="C22" s="43" t="s">
        <v>89</v>
      </c>
      <c r="D22" s="827">
        <v>0.39</v>
      </c>
      <c r="E22" s="828"/>
      <c r="F22" s="829"/>
      <c r="G22" s="830">
        <v>0.41</v>
      </c>
      <c r="H22" s="828"/>
      <c r="I22" s="829"/>
      <c r="J22" s="815">
        <v>0.35</v>
      </c>
      <c r="K22" s="794"/>
      <c r="L22" s="800"/>
      <c r="M22" s="796"/>
      <c r="N22" s="794"/>
      <c r="O22" s="795"/>
    </row>
    <row r="23" spans="1:15" s="6" customFormat="1" ht="30.75" customHeight="1" x14ac:dyDescent="0.3">
      <c r="A23" s="818"/>
      <c r="B23" s="5" t="s">
        <v>45</v>
      </c>
      <c r="C23" s="34" t="s">
        <v>82</v>
      </c>
      <c r="D23" s="796"/>
      <c r="E23" s="794"/>
      <c r="F23" s="800"/>
      <c r="G23" s="796"/>
      <c r="H23" s="794"/>
      <c r="I23" s="795"/>
      <c r="J23" s="815">
        <v>0.71</v>
      </c>
      <c r="K23" s="794"/>
      <c r="L23" s="800"/>
      <c r="M23" s="796"/>
      <c r="N23" s="794"/>
      <c r="O23" s="795"/>
    </row>
    <row r="24" spans="1:15" s="6" customFormat="1" ht="30.75" customHeight="1" x14ac:dyDescent="0.3">
      <c r="A24" s="818"/>
      <c r="B24" s="5" t="s">
        <v>46</v>
      </c>
      <c r="C24" s="34" t="s">
        <v>90</v>
      </c>
      <c r="D24" s="824">
        <v>0.75</v>
      </c>
      <c r="E24" s="811"/>
      <c r="F24" s="812"/>
      <c r="G24" s="820">
        <v>0.85</v>
      </c>
      <c r="H24" s="811"/>
      <c r="I24" s="812"/>
      <c r="J24" s="821">
        <v>0.98</v>
      </c>
      <c r="K24" s="822"/>
      <c r="L24" s="823"/>
      <c r="M24" s="820">
        <v>0.93</v>
      </c>
      <c r="N24" s="811"/>
      <c r="O24" s="814"/>
    </row>
    <row r="25" spans="1:15" s="6" customFormat="1" ht="30.75" customHeight="1" x14ac:dyDescent="0.3">
      <c r="A25" s="818"/>
      <c r="B25" s="5" t="s">
        <v>47</v>
      </c>
      <c r="C25" s="34" t="s">
        <v>123</v>
      </c>
      <c r="D25" s="824">
        <v>0.01</v>
      </c>
      <c r="E25" s="811"/>
      <c r="F25" s="812"/>
      <c r="G25" s="820">
        <v>0.01</v>
      </c>
      <c r="H25" s="811"/>
      <c r="I25" s="812"/>
      <c r="J25" s="821">
        <v>0.04</v>
      </c>
      <c r="K25" s="822"/>
      <c r="L25" s="823"/>
      <c r="M25" s="820">
        <v>0.04</v>
      </c>
      <c r="N25" s="811"/>
      <c r="O25" s="814"/>
    </row>
    <row r="26" spans="1:15" s="6" customFormat="1" ht="30.75" customHeight="1" x14ac:dyDescent="0.3">
      <c r="A26" s="818"/>
      <c r="B26" s="5" t="s">
        <v>83</v>
      </c>
      <c r="C26" s="65" t="s">
        <v>125</v>
      </c>
      <c r="D26" s="825" t="s">
        <v>87</v>
      </c>
      <c r="E26" s="822"/>
      <c r="F26" s="823"/>
      <c r="G26" s="826" t="s">
        <v>88</v>
      </c>
      <c r="H26" s="822"/>
      <c r="I26" s="823"/>
      <c r="J26" s="826">
        <v>340000</v>
      </c>
      <c r="K26" s="822"/>
      <c r="L26" s="823"/>
      <c r="M26" s="810">
        <v>0</v>
      </c>
      <c r="N26" s="811"/>
      <c r="O26" s="814"/>
    </row>
    <row r="27" spans="1:15" s="6" customFormat="1" ht="30.75" customHeight="1" x14ac:dyDescent="0.3">
      <c r="A27" s="819"/>
      <c r="B27" s="13" t="s">
        <v>84</v>
      </c>
      <c r="C27" s="37" t="s">
        <v>124</v>
      </c>
      <c r="D27" s="831">
        <v>0.15</v>
      </c>
      <c r="E27" s="802"/>
      <c r="F27" s="803"/>
      <c r="G27" s="832">
        <v>0.1</v>
      </c>
      <c r="H27" s="802"/>
      <c r="I27" s="803"/>
      <c r="J27" s="833">
        <v>0.23</v>
      </c>
      <c r="K27" s="834"/>
      <c r="L27" s="835"/>
      <c r="M27" s="832">
        <v>0.03</v>
      </c>
      <c r="N27" s="802"/>
      <c r="O27" s="838"/>
    </row>
    <row r="28" spans="1:15" s="6" customFormat="1" ht="30.75" customHeight="1" x14ac:dyDescent="0.3">
      <c r="A28" s="817" t="s">
        <v>19</v>
      </c>
      <c r="B28" s="12" t="s">
        <v>99</v>
      </c>
      <c r="C28" s="36" t="s">
        <v>102</v>
      </c>
      <c r="D28" s="847" t="s">
        <v>106</v>
      </c>
      <c r="E28" s="848"/>
      <c r="F28" s="849"/>
      <c r="G28" s="847" t="s">
        <v>105</v>
      </c>
      <c r="H28" s="848"/>
      <c r="I28" s="849"/>
      <c r="J28" s="48"/>
      <c r="K28" s="46"/>
      <c r="L28" s="47"/>
      <c r="M28" s="48"/>
      <c r="N28" s="46"/>
      <c r="O28" s="49"/>
    </row>
    <row r="29" spans="1:15" s="6" customFormat="1" ht="30.75" customHeight="1" x14ac:dyDescent="0.3">
      <c r="A29" s="818"/>
      <c r="B29" s="54" t="s">
        <v>100</v>
      </c>
      <c r="C29" s="55" t="s">
        <v>107</v>
      </c>
      <c r="D29" s="839" t="s">
        <v>103</v>
      </c>
      <c r="E29" s="840"/>
      <c r="F29" s="841"/>
      <c r="G29" s="846" t="s">
        <v>104</v>
      </c>
      <c r="H29" s="840"/>
      <c r="I29" s="841"/>
      <c r="J29" s="58"/>
      <c r="K29" s="56"/>
      <c r="L29" s="57"/>
      <c r="M29" s="58"/>
      <c r="N29" s="56"/>
      <c r="O29" s="59"/>
    </row>
    <row r="30" spans="1:15" s="6" customFormat="1" ht="30.75" customHeight="1" x14ac:dyDescent="0.3">
      <c r="A30" s="819"/>
      <c r="B30" s="8" t="s">
        <v>101</v>
      </c>
      <c r="C30" s="37"/>
      <c r="D30" s="837">
        <v>4</v>
      </c>
      <c r="E30" s="802"/>
      <c r="F30" s="803"/>
      <c r="G30" s="816">
        <v>4</v>
      </c>
      <c r="H30" s="802"/>
      <c r="I30" s="803"/>
      <c r="J30" s="52"/>
      <c r="K30" s="50"/>
      <c r="L30" s="51"/>
      <c r="M30" s="52"/>
      <c r="N30" s="50"/>
      <c r="O30" s="53"/>
    </row>
    <row r="31" spans="1:15" s="6" customFormat="1" ht="30.75" customHeight="1" x14ac:dyDescent="0.3">
      <c r="A31" s="817" t="s">
        <v>48</v>
      </c>
      <c r="B31" s="12" t="s">
        <v>91</v>
      </c>
      <c r="C31" s="36" t="s">
        <v>92</v>
      </c>
      <c r="D31" s="793"/>
      <c r="E31" s="794"/>
      <c r="F31" s="794"/>
      <c r="G31" s="794"/>
      <c r="H31" s="794"/>
      <c r="I31" s="800"/>
      <c r="J31" s="796"/>
      <c r="K31" s="794"/>
      <c r="L31" s="794"/>
      <c r="M31" s="794"/>
      <c r="N31" s="794"/>
      <c r="O31" s="795"/>
    </row>
    <row r="32" spans="1:15" s="6" customFormat="1" ht="30.75" customHeight="1" x14ac:dyDescent="0.3">
      <c r="A32" s="819"/>
      <c r="B32" s="8" t="s">
        <v>93</v>
      </c>
      <c r="C32" s="44" t="s">
        <v>94</v>
      </c>
      <c r="D32" s="837"/>
      <c r="E32" s="802"/>
      <c r="F32" s="802"/>
      <c r="G32" s="802"/>
      <c r="H32" s="802"/>
      <c r="I32" s="803"/>
      <c r="J32" s="816"/>
      <c r="K32" s="802"/>
      <c r="L32" s="802"/>
      <c r="M32" s="802"/>
      <c r="N32" s="802"/>
      <c r="O32" s="838"/>
    </row>
    <row r="33" spans="1:15" s="6" customFormat="1" ht="30.75" customHeight="1" x14ac:dyDescent="0.3">
      <c r="A33" s="817" t="s">
        <v>36</v>
      </c>
      <c r="B33" s="12" t="s">
        <v>72</v>
      </c>
      <c r="C33" s="36" t="s">
        <v>95</v>
      </c>
      <c r="D33" s="29"/>
      <c r="E33" s="21"/>
      <c r="F33" s="21"/>
      <c r="G33" s="45">
        <v>0.99790000000000001</v>
      </c>
      <c r="H33" s="45">
        <v>0.99950000000000006</v>
      </c>
      <c r="I33" s="45">
        <v>0.99124999999999996</v>
      </c>
      <c r="J33" s="21"/>
      <c r="K33" s="21"/>
      <c r="L33" s="21"/>
      <c r="M33" s="21"/>
      <c r="N33" s="21"/>
      <c r="O33" s="21"/>
    </row>
    <row r="34" spans="1:15" s="6" customFormat="1" ht="30.75" customHeight="1" x14ac:dyDescent="0.3">
      <c r="A34" s="818"/>
      <c r="B34" s="5" t="s">
        <v>74</v>
      </c>
      <c r="C34" s="34" t="s">
        <v>96</v>
      </c>
      <c r="D34" s="29"/>
      <c r="E34" s="21"/>
      <c r="F34" s="21"/>
      <c r="G34" s="45">
        <v>0.93833333333333335</v>
      </c>
      <c r="H34" s="45">
        <v>1</v>
      </c>
      <c r="I34" s="45">
        <v>0.99721666666666664</v>
      </c>
      <c r="J34" s="21"/>
      <c r="K34" s="21"/>
      <c r="L34" s="21"/>
      <c r="M34" s="21"/>
      <c r="N34" s="21"/>
      <c r="O34" s="21"/>
    </row>
    <row r="35" spans="1:15" s="6" customFormat="1" ht="30.75" customHeight="1" x14ac:dyDescent="0.3">
      <c r="A35" s="818"/>
      <c r="B35" s="5" t="s">
        <v>73</v>
      </c>
      <c r="C35" s="34" t="s">
        <v>96</v>
      </c>
      <c r="D35" s="19"/>
      <c r="E35" s="28"/>
      <c r="F35" s="28"/>
      <c r="G35" s="45">
        <v>1</v>
      </c>
      <c r="H35" s="45">
        <v>0.80759999999999998</v>
      </c>
      <c r="I35" s="45">
        <v>1</v>
      </c>
      <c r="J35" s="28"/>
      <c r="K35" s="28"/>
      <c r="L35" s="28"/>
      <c r="M35" s="28"/>
      <c r="N35" s="28"/>
      <c r="O35" s="28"/>
    </row>
    <row r="36" spans="1:15" s="6" customFormat="1" ht="30.75" customHeight="1" x14ac:dyDescent="0.3">
      <c r="A36" s="818"/>
      <c r="B36" s="5" t="s">
        <v>71</v>
      </c>
      <c r="C36" s="34" t="s">
        <v>90</v>
      </c>
      <c r="D36" s="29"/>
      <c r="E36" s="21"/>
      <c r="F36" s="21"/>
      <c r="G36" s="45">
        <v>0.47</v>
      </c>
      <c r="H36" s="45">
        <v>0.5</v>
      </c>
      <c r="I36" s="45">
        <v>0.84</v>
      </c>
      <c r="J36" s="21"/>
      <c r="K36" s="21"/>
      <c r="L36" s="21"/>
      <c r="M36" s="21"/>
      <c r="N36" s="21"/>
      <c r="O36" s="21"/>
    </row>
    <row r="37" spans="1:15" s="6" customFormat="1" ht="30.75" customHeight="1" x14ac:dyDescent="0.3">
      <c r="A37" s="819"/>
      <c r="B37" s="8" t="s">
        <v>21</v>
      </c>
      <c r="C37" s="37"/>
      <c r="D37" s="803"/>
      <c r="E37" s="836"/>
      <c r="F37" s="836"/>
      <c r="G37" s="836"/>
      <c r="H37" s="836"/>
      <c r="I37" s="836"/>
      <c r="J37" s="836"/>
      <c r="K37" s="836"/>
      <c r="L37" s="836"/>
      <c r="M37" s="836"/>
      <c r="N37" s="836"/>
      <c r="O37" s="850"/>
    </row>
    <row r="38" spans="1:15" s="6" customFormat="1" ht="30.75" customHeight="1" x14ac:dyDescent="0.3">
      <c r="A38" s="817" t="s">
        <v>51</v>
      </c>
      <c r="B38" s="12" t="s">
        <v>49</v>
      </c>
      <c r="C38" s="36"/>
      <c r="D38" s="15" t="s">
        <v>112</v>
      </c>
      <c r="E38" s="28">
        <v>0</v>
      </c>
      <c r="F38" s="61" t="s">
        <v>113</v>
      </c>
      <c r="G38" s="28">
        <v>0</v>
      </c>
      <c r="H38" s="28">
        <v>0</v>
      </c>
      <c r="I38" s="28">
        <v>0</v>
      </c>
      <c r="J38" s="17"/>
      <c r="K38" s="17"/>
      <c r="L38" s="17"/>
      <c r="M38" s="17"/>
      <c r="N38" s="17"/>
      <c r="O38" s="18"/>
    </row>
    <row r="39" spans="1:15" s="6" customFormat="1" ht="28.8" x14ac:dyDescent="0.3">
      <c r="A39" s="818"/>
      <c r="B39" s="5" t="s">
        <v>111</v>
      </c>
      <c r="C39" s="34"/>
      <c r="D39" s="62" t="s">
        <v>115</v>
      </c>
      <c r="E39" s="28">
        <v>0</v>
      </c>
      <c r="F39" s="28">
        <v>0</v>
      </c>
      <c r="G39" s="28" t="s">
        <v>114</v>
      </c>
      <c r="H39" s="28">
        <v>0</v>
      </c>
      <c r="I39" s="28">
        <v>0</v>
      </c>
      <c r="J39" s="21"/>
      <c r="K39" s="21"/>
      <c r="L39" s="21"/>
      <c r="M39" s="21"/>
      <c r="N39" s="21"/>
      <c r="O39" s="22"/>
    </row>
    <row r="40" spans="1:15" s="6" customFormat="1" ht="30.75" customHeight="1" x14ac:dyDescent="0.3">
      <c r="A40" s="818"/>
      <c r="B40" s="5" t="s">
        <v>20</v>
      </c>
      <c r="C40" s="34"/>
      <c r="D40" s="813"/>
      <c r="E40" s="811"/>
      <c r="F40" s="812"/>
      <c r="G40" s="810"/>
      <c r="H40" s="811"/>
      <c r="I40" s="812"/>
      <c r="J40" s="810"/>
      <c r="K40" s="811"/>
      <c r="L40" s="812"/>
      <c r="M40" s="810"/>
      <c r="N40" s="811"/>
      <c r="O40" s="814"/>
    </row>
    <row r="41" spans="1:15" s="6" customFormat="1" ht="30.75" customHeight="1" x14ac:dyDescent="0.3">
      <c r="A41" s="818"/>
      <c r="B41" s="5" t="s">
        <v>50</v>
      </c>
      <c r="C41" s="34"/>
      <c r="D41" s="19"/>
      <c r="E41" s="20"/>
      <c r="F41" s="21"/>
      <c r="G41" s="21"/>
      <c r="H41" s="21"/>
      <c r="I41" s="21"/>
      <c r="J41" s="21"/>
      <c r="K41" s="21"/>
      <c r="L41" s="21"/>
      <c r="M41" s="21"/>
      <c r="N41" s="21"/>
      <c r="O41" s="22"/>
    </row>
    <row r="42" spans="1:15" s="6" customFormat="1" ht="30.75" customHeight="1" x14ac:dyDescent="0.3">
      <c r="A42" s="819"/>
      <c r="B42" s="8" t="s">
        <v>52</v>
      </c>
      <c r="C42" s="37"/>
      <c r="D42" s="837"/>
      <c r="E42" s="802"/>
      <c r="F42" s="803"/>
      <c r="G42" s="816"/>
      <c r="H42" s="802"/>
      <c r="I42" s="803"/>
      <c r="J42" s="816"/>
      <c r="K42" s="802"/>
      <c r="L42" s="803"/>
      <c r="M42" s="816"/>
      <c r="N42" s="802"/>
      <c r="O42" s="838"/>
    </row>
    <row r="43" spans="1:15" s="6" customFormat="1" ht="30.75" customHeight="1" x14ac:dyDescent="0.3">
      <c r="A43" s="818" t="s">
        <v>129</v>
      </c>
      <c r="B43" s="7" t="s">
        <v>108</v>
      </c>
      <c r="C43" s="33"/>
      <c r="D43" s="40"/>
      <c r="E43" s="40"/>
      <c r="F43" s="27"/>
      <c r="G43" s="41"/>
      <c r="H43" s="40"/>
      <c r="I43" s="27"/>
      <c r="J43" s="41"/>
      <c r="K43" s="40"/>
      <c r="L43" s="27"/>
      <c r="M43" s="41"/>
      <c r="N43" s="40"/>
      <c r="O43" s="42"/>
    </row>
    <row r="44" spans="1:15" s="6" customFormat="1" ht="30.75" customHeight="1" x14ac:dyDescent="0.3">
      <c r="A44" s="818"/>
      <c r="B44" s="5" t="s">
        <v>35</v>
      </c>
      <c r="C44" s="34"/>
      <c r="D44" s="811"/>
      <c r="E44" s="811"/>
      <c r="F44" s="812"/>
      <c r="G44" s="810"/>
      <c r="H44" s="811"/>
      <c r="I44" s="812"/>
      <c r="J44" s="810"/>
      <c r="K44" s="811"/>
      <c r="L44" s="812"/>
      <c r="M44" s="810"/>
      <c r="N44" s="811"/>
      <c r="O44" s="814"/>
    </row>
    <row r="45" spans="1:15" s="6" customFormat="1" ht="30.75" customHeight="1" x14ac:dyDescent="0.3">
      <c r="A45" s="819"/>
      <c r="B45" s="8" t="s">
        <v>86</v>
      </c>
      <c r="C45" s="37"/>
      <c r="D45" s="802"/>
      <c r="E45" s="802"/>
      <c r="F45" s="803"/>
      <c r="G45" s="816"/>
      <c r="H45" s="802"/>
      <c r="I45" s="803"/>
      <c r="J45" s="816"/>
      <c r="K45" s="802"/>
      <c r="L45" s="803"/>
      <c r="M45" s="816"/>
      <c r="N45" s="802"/>
      <c r="O45" s="838"/>
    </row>
    <row r="46" spans="1:15" s="6" customFormat="1" ht="30.75" customHeight="1" x14ac:dyDescent="0.3">
      <c r="A46" s="817" t="s">
        <v>31</v>
      </c>
      <c r="B46" s="12" t="s">
        <v>32</v>
      </c>
      <c r="C46" s="36" t="s">
        <v>126</v>
      </c>
      <c r="D46" s="811" t="s">
        <v>116</v>
      </c>
      <c r="E46" s="811"/>
      <c r="F46" s="811"/>
      <c r="G46" s="811"/>
      <c r="H46" s="811"/>
      <c r="I46" s="812"/>
      <c r="J46" s="794"/>
      <c r="K46" s="794"/>
      <c r="L46" s="794"/>
      <c r="M46" s="794"/>
      <c r="N46" s="794"/>
      <c r="O46" s="795"/>
    </row>
    <row r="47" spans="1:15" s="6" customFormat="1" ht="30.75" customHeight="1" x14ac:dyDescent="0.3">
      <c r="A47" s="818"/>
      <c r="B47" s="5" t="s">
        <v>85</v>
      </c>
      <c r="C47" s="34" t="s">
        <v>127</v>
      </c>
      <c r="D47" s="811" t="s">
        <v>117</v>
      </c>
      <c r="E47" s="811"/>
      <c r="F47" s="811"/>
      <c r="G47" s="811"/>
      <c r="H47" s="811"/>
      <c r="I47" s="812"/>
      <c r="J47" s="810"/>
      <c r="K47" s="811"/>
      <c r="L47" s="811"/>
      <c r="M47" s="811"/>
      <c r="N47" s="811"/>
      <c r="O47" s="814"/>
    </row>
    <row r="48" spans="1:15" s="6" customFormat="1" ht="30.75" customHeight="1" x14ac:dyDescent="0.3">
      <c r="A48" s="818"/>
      <c r="B48" s="5" t="s">
        <v>69</v>
      </c>
      <c r="C48" s="34" t="s">
        <v>96</v>
      </c>
      <c r="D48" s="811"/>
      <c r="E48" s="811"/>
      <c r="F48" s="811"/>
      <c r="G48" s="811"/>
      <c r="H48" s="811"/>
      <c r="I48" s="811"/>
      <c r="J48" s="811"/>
      <c r="K48" s="811"/>
      <c r="L48" s="811"/>
      <c r="M48" s="811"/>
      <c r="N48" s="811"/>
      <c r="O48" s="814"/>
    </row>
    <row r="49" spans="1:17" s="6" customFormat="1" ht="30.75" customHeight="1" x14ac:dyDescent="0.3">
      <c r="A49" s="818"/>
      <c r="B49" s="5" t="s">
        <v>33</v>
      </c>
      <c r="C49" s="34" t="s">
        <v>128</v>
      </c>
      <c r="D49" s="813"/>
      <c r="E49" s="811"/>
      <c r="F49" s="811"/>
      <c r="G49" s="811"/>
      <c r="H49" s="811"/>
      <c r="I49" s="811"/>
      <c r="J49" s="811"/>
      <c r="K49" s="811"/>
      <c r="L49" s="811"/>
      <c r="M49" s="811"/>
      <c r="N49" s="811"/>
      <c r="O49" s="814"/>
    </row>
    <row r="50" spans="1:17" s="6" customFormat="1" ht="30.75" customHeight="1" x14ac:dyDescent="0.3">
      <c r="A50" s="819"/>
      <c r="B50" s="8" t="s">
        <v>34</v>
      </c>
      <c r="C50" s="37" t="s">
        <v>96</v>
      </c>
      <c r="D50" s="831">
        <v>1</v>
      </c>
      <c r="E50" s="802"/>
      <c r="F50" s="802"/>
      <c r="G50" s="802"/>
      <c r="H50" s="802"/>
      <c r="I50" s="803"/>
      <c r="J50" s="816"/>
      <c r="K50" s="802"/>
      <c r="L50" s="802"/>
      <c r="M50" s="802"/>
      <c r="N50" s="802"/>
      <c r="O50" s="838"/>
    </row>
    <row r="51" spans="1:17" s="6" customFormat="1" ht="30.75" customHeight="1" x14ac:dyDescent="0.3">
      <c r="A51" s="817" t="s">
        <v>17</v>
      </c>
      <c r="B51" s="12" t="s">
        <v>18</v>
      </c>
      <c r="C51" s="36" t="s">
        <v>119</v>
      </c>
      <c r="D51" s="794">
        <v>0</v>
      </c>
      <c r="E51" s="794"/>
      <c r="F51" s="800"/>
      <c r="G51" s="796">
        <v>0</v>
      </c>
      <c r="H51" s="794"/>
      <c r="I51" s="800"/>
      <c r="J51" s="796"/>
      <c r="K51" s="794"/>
      <c r="L51" s="800"/>
      <c r="M51" s="796"/>
      <c r="N51" s="794"/>
      <c r="O51" s="795"/>
    </row>
    <row r="52" spans="1:17" s="6" customFormat="1" ht="30.75" customHeight="1" x14ac:dyDescent="0.3">
      <c r="A52" s="818"/>
      <c r="B52" s="64" t="s">
        <v>70</v>
      </c>
      <c r="C52" s="34"/>
      <c r="D52" s="811"/>
      <c r="E52" s="811"/>
      <c r="F52" s="812"/>
      <c r="G52" s="810"/>
      <c r="H52" s="811"/>
      <c r="I52" s="812"/>
      <c r="J52" s="810"/>
      <c r="K52" s="811"/>
      <c r="L52" s="812"/>
      <c r="M52" s="810"/>
      <c r="N52" s="811"/>
      <c r="O52" s="814"/>
    </row>
    <row r="53" spans="1:17" s="6" customFormat="1" ht="30.75" customHeight="1" x14ac:dyDescent="0.3">
      <c r="A53" s="818"/>
      <c r="B53" s="5" t="s">
        <v>97</v>
      </c>
      <c r="C53" s="34" t="s">
        <v>120</v>
      </c>
      <c r="D53" s="851">
        <v>34</v>
      </c>
      <c r="E53" s="852"/>
      <c r="F53" s="852"/>
      <c r="G53" s="852"/>
      <c r="H53" s="852"/>
      <c r="I53" s="853"/>
      <c r="J53" s="810"/>
      <c r="K53" s="811"/>
      <c r="L53" s="811"/>
      <c r="M53" s="811"/>
      <c r="N53" s="811"/>
      <c r="O53" s="814"/>
    </row>
    <row r="54" spans="1:17" s="6" customFormat="1" ht="30.75" customHeight="1" x14ac:dyDescent="0.3">
      <c r="A54" s="819"/>
      <c r="B54" s="8" t="s">
        <v>98</v>
      </c>
      <c r="C54" s="37" t="s">
        <v>121</v>
      </c>
      <c r="D54" s="811" t="s">
        <v>118</v>
      </c>
      <c r="E54" s="811"/>
      <c r="F54" s="811"/>
      <c r="G54" s="811"/>
      <c r="H54" s="811"/>
      <c r="I54" s="812"/>
      <c r="J54" s="836"/>
      <c r="K54" s="836"/>
      <c r="L54" s="836"/>
      <c r="M54" s="836"/>
      <c r="N54" s="836"/>
      <c r="O54" s="850"/>
    </row>
    <row r="55" spans="1:17" s="6" customFormat="1" ht="30.75" customHeight="1" x14ac:dyDescent="0.3">
      <c r="A55" s="817" t="s">
        <v>1</v>
      </c>
      <c r="B55" s="12" t="s">
        <v>81</v>
      </c>
      <c r="C55" s="36" t="s">
        <v>130</v>
      </c>
      <c r="D55" s="800">
        <v>0.5</v>
      </c>
      <c r="E55" s="844"/>
      <c r="F55" s="844"/>
      <c r="G55" s="844">
        <v>1.115</v>
      </c>
      <c r="H55" s="844"/>
      <c r="I55" s="844"/>
      <c r="J55" s="844">
        <v>0.44700000000000001</v>
      </c>
      <c r="K55" s="844"/>
      <c r="L55" s="844"/>
      <c r="M55" s="844">
        <v>0.06</v>
      </c>
      <c r="N55" s="844"/>
      <c r="O55" s="845"/>
    </row>
    <row r="56" spans="1:17" s="6" customFormat="1" ht="30.75" customHeight="1" x14ac:dyDescent="0.3">
      <c r="A56" s="818"/>
      <c r="B56" s="5" t="s">
        <v>28</v>
      </c>
      <c r="C56" s="55" t="s">
        <v>131</v>
      </c>
      <c r="D56" s="66">
        <v>0.94730000000000003</v>
      </c>
      <c r="E56" s="67">
        <v>0.91659999999999997</v>
      </c>
      <c r="F56" s="68">
        <v>0.7</v>
      </c>
      <c r="G56" s="67">
        <v>0.72729999999999995</v>
      </c>
      <c r="H56" s="67">
        <v>0.875</v>
      </c>
      <c r="I56" s="67">
        <v>0.85709999999999997</v>
      </c>
      <c r="J56" s="67">
        <v>0.8</v>
      </c>
      <c r="K56" s="68">
        <v>0.3</v>
      </c>
      <c r="L56" s="67">
        <v>0.125</v>
      </c>
      <c r="M56" s="67">
        <v>0.20830000000000001</v>
      </c>
      <c r="N56" s="68">
        <v>0.3</v>
      </c>
      <c r="O56" s="60"/>
    </row>
    <row r="57" spans="1:17" s="6" customFormat="1" ht="30.75" customHeight="1" x14ac:dyDescent="0.3">
      <c r="A57" s="818"/>
      <c r="B57" s="5" t="s">
        <v>109</v>
      </c>
      <c r="C57" s="55" t="s">
        <v>132</v>
      </c>
      <c r="D57" s="811">
        <v>0</v>
      </c>
      <c r="E57" s="811"/>
      <c r="F57" s="812"/>
      <c r="G57" s="811">
        <v>3</v>
      </c>
      <c r="H57" s="811"/>
      <c r="I57" s="812"/>
      <c r="J57" s="811">
        <v>0</v>
      </c>
      <c r="K57" s="811"/>
      <c r="L57" s="812"/>
      <c r="M57" s="810">
        <v>1</v>
      </c>
      <c r="N57" s="811"/>
      <c r="O57" s="814"/>
    </row>
    <row r="58" spans="1:17" s="6" customFormat="1" ht="30.75" customHeight="1" x14ac:dyDescent="0.3">
      <c r="A58" s="819"/>
      <c r="B58" s="8" t="s">
        <v>110</v>
      </c>
      <c r="C58" s="37" t="s">
        <v>133</v>
      </c>
      <c r="D58" s="837">
        <v>0</v>
      </c>
      <c r="E58" s="802"/>
      <c r="F58" s="802"/>
      <c r="G58" s="802"/>
      <c r="H58" s="802"/>
      <c r="I58" s="803"/>
      <c r="J58" s="816">
        <v>8</v>
      </c>
      <c r="K58" s="802"/>
      <c r="L58" s="802"/>
      <c r="M58" s="802"/>
      <c r="N58" s="802"/>
      <c r="O58" s="838"/>
    </row>
    <row r="59" spans="1:17" s="6" customFormat="1" ht="69.75" customHeight="1" x14ac:dyDescent="0.3">
      <c r="A59" s="863" t="s">
        <v>56</v>
      </c>
      <c r="B59" s="12" t="s">
        <v>53</v>
      </c>
      <c r="C59" s="82" t="s">
        <v>159</v>
      </c>
      <c r="D59" s="61"/>
      <c r="E59" s="83"/>
      <c r="F59" s="17"/>
      <c r="G59" s="61"/>
      <c r="H59" s="61"/>
      <c r="I59" s="17" t="s">
        <v>160</v>
      </c>
      <c r="J59" s="84" t="s">
        <v>161</v>
      </c>
      <c r="K59" s="84" t="s">
        <v>162</v>
      </c>
      <c r="L59" s="84" t="s">
        <v>163</v>
      </c>
      <c r="M59" s="84" t="s">
        <v>171</v>
      </c>
      <c r="N59" s="84" t="s">
        <v>168</v>
      </c>
      <c r="O59" s="85" t="s">
        <v>169</v>
      </c>
      <c r="P59" s="862" t="s">
        <v>172</v>
      </c>
      <c r="Q59" s="862"/>
    </row>
    <row r="60" spans="1:17" s="6" customFormat="1" ht="67.5" customHeight="1" x14ac:dyDescent="0.3">
      <c r="A60" s="864"/>
      <c r="B60" s="5" t="s">
        <v>54</v>
      </c>
      <c r="C60" s="86" t="s">
        <v>164</v>
      </c>
      <c r="D60" s="21" t="s">
        <v>165</v>
      </c>
      <c r="E60" s="21" t="s">
        <v>165</v>
      </c>
      <c r="F60" s="21" t="s">
        <v>166</v>
      </c>
      <c r="G60" s="21" t="s">
        <v>165</v>
      </c>
      <c r="H60" s="21" t="s">
        <v>167</v>
      </c>
      <c r="I60" s="21" t="s">
        <v>166</v>
      </c>
      <c r="J60" s="80" t="s">
        <v>166</v>
      </c>
      <c r="K60" s="80" t="s">
        <v>167</v>
      </c>
      <c r="L60" s="80" t="s">
        <v>167</v>
      </c>
      <c r="M60" s="80" t="s">
        <v>170</v>
      </c>
      <c r="N60" s="80" t="s">
        <v>165</v>
      </c>
      <c r="O60" s="81" t="s">
        <v>166</v>
      </c>
      <c r="P60" s="862"/>
      <c r="Q60" s="862"/>
    </row>
    <row r="61" spans="1:17" s="6" customFormat="1" ht="30.75" customHeight="1" x14ac:dyDescent="0.3">
      <c r="A61" s="865"/>
      <c r="B61" s="8" t="s">
        <v>55</v>
      </c>
      <c r="C61" s="87"/>
      <c r="D61" s="79"/>
      <c r="E61" s="24"/>
      <c r="F61" s="25"/>
      <c r="G61" s="25"/>
      <c r="H61" s="25"/>
      <c r="I61" s="25"/>
      <c r="J61" s="25"/>
      <c r="K61" s="25"/>
      <c r="L61" s="25"/>
      <c r="M61" s="25"/>
      <c r="N61" s="25"/>
      <c r="O61" s="26"/>
    </row>
    <row r="62" spans="1:17" s="6" customFormat="1" ht="30.75" customHeight="1" x14ac:dyDescent="0.3">
      <c r="A62" s="817" t="s">
        <v>60</v>
      </c>
      <c r="B62" s="12" t="s">
        <v>61</v>
      </c>
      <c r="C62" s="36"/>
      <c r="D62" s="793">
        <v>3.4</v>
      </c>
      <c r="E62" s="794"/>
      <c r="F62" s="794"/>
      <c r="G62" s="794"/>
      <c r="H62" s="794"/>
      <c r="I62" s="794"/>
      <c r="J62" s="794"/>
      <c r="K62" s="794"/>
      <c r="L62" s="794"/>
      <c r="M62" s="794"/>
      <c r="N62" s="794"/>
      <c r="O62" s="795"/>
    </row>
    <row r="63" spans="1:17" s="6" customFormat="1" ht="30.75" customHeight="1" x14ac:dyDescent="0.3">
      <c r="A63" s="818"/>
      <c r="B63" s="7" t="s">
        <v>62</v>
      </c>
      <c r="C63" s="33" t="s">
        <v>66</v>
      </c>
      <c r="D63" s="855">
        <v>0.73</v>
      </c>
      <c r="E63" s="811"/>
      <c r="F63" s="812"/>
      <c r="G63" s="820">
        <v>0.72</v>
      </c>
      <c r="H63" s="811"/>
      <c r="I63" s="812"/>
      <c r="J63" s="820">
        <v>0.7</v>
      </c>
      <c r="K63" s="811"/>
      <c r="L63" s="812"/>
      <c r="M63" s="820">
        <v>0.73</v>
      </c>
      <c r="N63" s="811"/>
      <c r="O63" s="814"/>
    </row>
    <row r="64" spans="1:17" s="6" customFormat="1" ht="30.75" customHeight="1" x14ac:dyDescent="0.3">
      <c r="A64" s="818"/>
      <c r="B64" s="7" t="s">
        <v>63</v>
      </c>
      <c r="C64" s="33" t="s">
        <v>67</v>
      </c>
      <c r="D64" s="856" t="s">
        <v>143</v>
      </c>
      <c r="E64" s="811"/>
      <c r="F64" s="811"/>
      <c r="G64" s="811"/>
      <c r="H64" s="811"/>
      <c r="I64" s="811"/>
      <c r="J64" s="811"/>
      <c r="K64" s="811"/>
      <c r="L64" s="811"/>
      <c r="M64" s="811"/>
      <c r="N64" s="811"/>
      <c r="O64" s="814"/>
    </row>
    <row r="65" spans="1:15" s="6" customFormat="1" ht="30.75" customHeight="1" x14ac:dyDescent="0.3">
      <c r="A65" s="819"/>
      <c r="B65" s="14" t="s">
        <v>64</v>
      </c>
      <c r="C65" s="38" t="s">
        <v>68</v>
      </c>
      <c r="D65" s="802">
        <v>21</v>
      </c>
      <c r="E65" s="802"/>
      <c r="F65" s="803"/>
      <c r="G65" s="816">
        <v>0</v>
      </c>
      <c r="H65" s="802"/>
      <c r="I65" s="803"/>
      <c r="J65" s="816">
        <v>6</v>
      </c>
      <c r="K65" s="802"/>
      <c r="L65" s="803"/>
      <c r="M65" s="816">
        <v>1</v>
      </c>
      <c r="N65" s="802"/>
      <c r="O65" s="838"/>
    </row>
    <row r="66" spans="1:15" ht="43.2" x14ac:dyDescent="0.3">
      <c r="A66" s="69" t="s">
        <v>134</v>
      </c>
      <c r="B66" s="12" t="s">
        <v>135</v>
      </c>
      <c r="C66" s="36" t="s">
        <v>136</v>
      </c>
    </row>
    <row r="67" spans="1:15" ht="30.75" customHeight="1" x14ac:dyDescent="0.3"/>
    <row r="68" spans="1:15" ht="30.75" customHeight="1" x14ac:dyDescent="0.3"/>
    <row r="69" spans="1:15" ht="30.75" customHeight="1" x14ac:dyDescent="0.3"/>
    <row r="70" spans="1:15" ht="30.75" customHeight="1" x14ac:dyDescent="0.3"/>
    <row r="71" spans="1:15" ht="30.75" customHeight="1" x14ac:dyDescent="0.3"/>
    <row r="72" spans="1:15" ht="30.75" customHeight="1" x14ac:dyDescent="0.3"/>
    <row r="73" spans="1:15" ht="30.75" customHeight="1" x14ac:dyDescent="0.3"/>
    <row r="74" spans="1:15" ht="30.75" customHeight="1" x14ac:dyDescent="0.3"/>
    <row r="75" spans="1:15" ht="30.75" customHeight="1" x14ac:dyDescent="0.3"/>
    <row r="76" spans="1:15" ht="30.75" customHeight="1" x14ac:dyDescent="0.3"/>
    <row r="77" spans="1:15" ht="30.75" customHeight="1" x14ac:dyDescent="0.3"/>
    <row r="78" spans="1:15" ht="30.75" customHeight="1" x14ac:dyDescent="0.3"/>
    <row r="79" spans="1:15" ht="30.75" customHeight="1" x14ac:dyDescent="0.3"/>
    <row r="80" spans="1:15" ht="30.75" customHeight="1" x14ac:dyDescent="0.3"/>
    <row r="81" ht="30.75" customHeight="1" x14ac:dyDescent="0.3"/>
    <row r="82" ht="30.75" customHeight="1" x14ac:dyDescent="0.3"/>
    <row r="83" ht="30.75" customHeight="1" x14ac:dyDescent="0.3"/>
    <row r="84" ht="30.75" customHeight="1" x14ac:dyDescent="0.3"/>
    <row r="85" ht="30.75" customHeight="1" x14ac:dyDescent="0.3"/>
    <row r="86" ht="30.75" customHeight="1" x14ac:dyDescent="0.3"/>
    <row r="87" ht="30.75" customHeight="1" x14ac:dyDescent="0.3"/>
    <row r="88" ht="30.75" customHeight="1" x14ac:dyDescent="0.3"/>
    <row r="89" ht="30.75" customHeight="1" x14ac:dyDescent="0.3"/>
    <row r="90" ht="30.75" customHeight="1" x14ac:dyDescent="0.3"/>
    <row r="91" ht="30.75" customHeight="1" x14ac:dyDescent="0.3"/>
    <row r="92" ht="30.75" customHeight="1" x14ac:dyDescent="0.3"/>
    <row r="93" ht="30.75" customHeight="1" x14ac:dyDescent="0.3"/>
    <row r="94" ht="30.75" customHeight="1" x14ac:dyDescent="0.3"/>
    <row r="95" ht="30.75" customHeight="1" x14ac:dyDescent="0.3"/>
    <row r="96" ht="30.75" customHeight="1" x14ac:dyDescent="0.3"/>
    <row r="97" ht="30.75" customHeight="1" x14ac:dyDescent="0.3"/>
    <row r="98" ht="30.75" customHeight="1" x14ac:dyDescent="0.3"/>
    <row r="99" ht="30.75" customHeight="1" x14ac:dyDescent="0.3"/>
    <row r="100" ht="30.75" customHeight="1" x14ac:dyDescent="0.3"/>
    <row r="101" ht="30.75" customHeight="1" x14ac:dyDescent="0.3"/>
    <row r="102" ht="30.75" customHeight="1" x14ac:dyDescent="0.3"/>
    <row r="103" ht="30.75" customHeight="1" x14ac:dyDescent="0.3"/>
    <row r="104" ht="30.75" customHeight="1" x14ac:dyDescent="0.3"/>
    <row r="105" ht="30.75" customHeight="1" x14ac:dyDescent="0.3"/>
    <row r="106" ht="30.75" customHeight="1" x14ac:dyDescent="0.3"/>
    <row r="107" ht="30.75" customHeight="1" x14ac:dyDescent="0.3"/>
    <row r="108" ht="30.75" customHeight="1" x14ac:dyDescent="0.3"/>
    <row r="109" ht="30.75" customHeight="1" x14ac:dyDescent="0.3"/>
    <row r="110" ht="30.75" customHeight="1" x14ac:dyDescent="0.3"/>
    <row r="111" ht="30.75" customHeight="1" x14ac:dyDescent="0.3"/>
    <row r="112" ht="30.75" customHeight="1" x14ac:dyDescent="0.3"/>
    <row r="113" ht="30.75" customHeight="1" x14ac:dyDescent="0.3"/>
    <row r="114" ht="30.75" customHeight="1" x14ac:dyDescent="0.3"/>
    <row r="115" ht="30.75" customHeight="1" x14ac:dyDescent="0.3"/>
    <row r="116" ht="30.75" customHeight="1" x14ac:dyDescent="0.3"/>
    <row r="117" ht="30.75" customHeight="1" x14ac:dyDescent="0.3"/>
    <row r="118" ht="30.75" customHeight="1" x14ac:dyDescent="0.3"/>
    <row r="119" ht="30.75" customHeight="1" x14ac:dyDescent="0.3"/>
    <row r="120" ht="30.75" customHeight="1" x14ac:dyDescent="0.3"/>
    <row r="121" ht="30.75" customHeight="1" x14ac:dyDescent="0.3"/>
    <row r="122" ht="30.75" customHeight="1" x14ac:dyDescent="0.3"/>
    <row r="123" ht="30.75" customHeight="1" x14ac:dyDescent="0.3"/>
    <row r="124" ht="30.75" customHeight="1" x14ac:dyDescent="0.3"/>
    <row r="125" ht="30.75" customHeight="1" x14ac:dyDescent="0.3"/>
    <row r="126" ht="30.75" customHeight="1" x14ac:dyDescent="0.3"/>
    <row r="127" ht="30.75" customHeight="1" x14ac:dyDescent="0.3"/>
    <row r="128" ht="30.75" customHeight="1" x14ac:dyDescent="0.3"/>
    <row r="129" ht="30.75" customHeight="1" x14ac:dyDescent="0.3"/>
    <row r="130" ht="30.75" customHeight="1" x14ac:dyDescent="0.3"/>
    <row r="131" ht="30.75" customHeight="1" x14ac:dyDescent="0.3"/>
    <row r="132" ht="30.75" customHeight="1" x14ac:dyDescent="0.3"/>
    <row r="133" ht="30.75" customHeight="1" x14ac:dyDescent="0.3"/>
    <row r="134" ht="30.75" customHeight="1" x14ac:dyDescent="0.3"/>
    <row r="135" ht="30.75" customHeight="1" x14ac:dyDescent="0.3"/>
    <row r="136" ht="30.75" customHeight="1" x14ac:dyDescent="0.3"/>
    <row r="137" ht="30.75" customHeight="1" x14ac:dyDescent="0.3"/>
    <row r="138" ht="30.75" customHeight="1" x14ac:dyDescent="0.3"/>
    <row r="139" ht="30.75" customHeight="1" x14ac:dyDescent="0.3"/>
    <row r="140" ht="30.75" customHeight="1" x14ac:dyDescent="0.3"/>
    <row r="141" ht="30.75" customHeight="1" x14ac:dyDescent="0.3"/>
    <row r="142" ht="30.75" customHeight="1" x14ac:dyDescent="0.3"/>
    <row r="143" ht="30.75" customHeight="1" x14ac:dyDescent="0.3"/>
    <row r="144" ht="30.75" customHeight="1" x14ac:dyDescent="0.3"/>
    <row r="145" ht="30.75" customHeight="1" x14ac:dyDescent="0.3"/>
    <row r="146" ht="30.75" customHeight="1" x14ac:dyDescent="0.3"/>
    <row r="147" ht="30.75" customHeight="1" x14ac:dyDescent="0.3"/>
    <row r="148" ht="30.75" customHeight="1" x14ac:dyDescent="0.3"/>
    <row r="149" ht="30.75" customHeight="1" x14ac:dyDescent="0.3"/>
    <row r="150" ht="30.75" customHeight="1" x14ac:dyDescent="0.3"/>
    <row r="151" ht="30.75" customHeight="1" x14ac:dyDescent="0.3"/>
    <row r="152" ht="30.75" customHeight="1" x14ac:dyDescent="0.3"/>
    <row r="153" ht="30.75" customHeight="1" x14ac:dyDescent="0.3"/>
    <row r="154" ht="30.75" customHeight="1" x14ac:dyDescent="0.3"/>
    <row r="155" ht="30.75" customHeight="1" x14ac:dyDescent="0.3"/>
    <row r="156" ht="30.75" customHeight="1" x14ac:dyDescent="0.3"/>
    <row r="157" ht="30.75" customHeight="1" x14ac:dyDescent="0.3"/>
    <row r="158" ht="30.75" customHeight="1" x14ac:dyDescent="0.3"/>
    <row r="159" ht="30.75" customHeight="1" x14ac:dyDescent="0.3"/>
    <row r="160" ht="30.75" customHeight="1" x14ac:dyDescent="0.3"/>
    <row r="161" ht="30.75" customHeight="1" x14ac:dyDescent="0.3"/>
    <row r="162" ht="30.75" customHeight="1" x14ac:dyDescent="0.3"/>
    <row r="163" ht="30.75" customHeight="1" x14ac:dyDescent="0.3"/>
    <row r="164" ht="30.75" customHeight="1" x14ac:dyDescent="0.3"/>
    <row r="165" ht="30.75" customHeight="1" x14ac:dyDescent="0.3"/>
    <row r="166" ht="30.75" customHeight="1" x14ac:dyDescent="0.3"/>
    <row r="167" ht="30.75" customHeight="1" x14ac:dyDescent="0.3"/>
    <row r="168" ht="30.75" customHeight="1" x14ac:dyDescent="0.3"/>
    <row r="169" ht="30.75" customHeight="1" x14ac:dyDescent="0.3"/>
    <row r="170" ht="30.75" customHeight="1" x14ac:dyDescent="0.3"/>
    <row r="171" ht="30.75" customHeight="1" x14ac:dyDescent="0.3"/>
    <row r="172" ht="30.75" customHeight="1" x14ac:dyDescent="0.3"/>
    <row r="173" ht="30.75" customHeight="1" x14ac:dyDescent="0.3"/>
    <row r="174" ht="30.75" customHeight="1" x14ac:dyDescent="0.3"/>
    <row r="175" ht="30.75" customHeight="1" x14ac:dyDescent="0.3"/>
    <row r="176" ht="30.75" customHeight="1" x14ac:dyDescent="0.3"/>
    <row r="177" ht="30.75" customHeight="1" x14ac:dyDescent="0.3"/>
    <row r="178" ht="30.75" customHeight="1" x14ac:dyDescent="0.3"/>
    <row r="179" ht="30.75" customHeight="1" x14ac:dyDescent="0.3"/>
    <row r="180" ht="30.75" customHeight="1" x14ac:dyDescent="0.3"/>
    <row r="181" ht="30.75" customHeight="1" x14ac:dyDescent="0.3"/>
    <row r="182" ht="30.75" customHeight="1" x14ac:dyDescent="0.3"/>
    <row r="183" ht="30.75" customHeight="1" x14ac:dyDescent="0.3"/>
    <row r="184" ht="30.75" customHeight="1" x14ac:dyDescent="0.3"/>
    <row r="185" ht="30.75" customHeight="1" x14ac:dyDescent="0.3"/>
    <row r="186" ht="30.75" customHeight="1" x14ac:dyDescent="0.3"/>
    <row r="187" ht="30.75" customHeight="1" x14ac:dyDescent="0.3"/>
    <row r="188" ht="30.75" customHeight="1" x14ac:dyDescent="0.3"/>
    <row r="189" ht="30.75" customHeight="1" x14ac:dyDescent="0.3"/>
    <row r="190" ht="30.75" customHeight="1" x14ac:dyDescent="0.3"/>
    <row r="191" ht="30.75" customHeight="1" x14ac:dyDescent="0.3"/>
    <row r="192" ht="30.75" customHeight="1" x14ac:dyDescent="0.3"/>
    <row r="193" ht="30.75" customHeight="1" x14ac:dyDescent="0.3"/>
    <row r="194" ht="30.75" customHeight="1" x14ac:dyDescent="0.3"/>
    <row r="195" ht="30.75" customHeight="1" x14ac:dyDescent="0.3"/>
    <row r="196" ht="30.75" customHeight="1" x14ac:dyDescent="0.3"/>
    <row r="197" ht="30.75" customHeight="1" x14ac:dyDescent="0.3"/>
    <row r="198" ht="30.75" customHeight="1" x14ac:dyDescent="0.3"/>
    <row r="199" ht="30.75" customHeight="1" x14ac:dyDescent="0.3"/>
    <row r="200" ht="30.75" customHeight="1" x14ac:dyDescent="0.3"/>
    <row r="201" ht="48" customHeight="1" x14ac:dyDescent="0.3"/>
    <row r="202" ht="30.75" customHeight="1" x14ac:dyDescent="0.3"/>
    <row r="203" ht="30.75" customHeight="1" x14ac:dyDescent="0.3"/>
    <row r="204" ht="30.75" customHeight="1" x14ac:dyDescent="0.3"/>
    <row r="205" ht="39.75" customHeight="1" x14ac:dyDescent="0.3"/>
    <row r="206" ht="30.75" customHeight="1" x14ac:dyDescent="0.3"/>
    <row r="207" ht="30.75" customHeight="1" x14ac:dyDescent="0.3"/>
    <row r="208" ht="30.75" customHeight="1" x14ac:dyDescent="0.3"/>
    <row r="209" ht="30.75" customHeight="1" x14ac:dyDescent="0.3"/>
    <row r="210" ht="30.75" customHeight="1" x14ac:dyDescent="0.3"/>
    <row r="211" ht="30.75" customHeight="1" x14ac:dyDescent="0.3"/>
    <row r="212" ht="30.75" customHeight="1" x14ac:dyDescent="0.3"/>
    <row r="213" ht="41.25" customHeight="1" x14ac:dyDescent="0.3"/>
    <row r="214" ht="30.75" customHeight="1" x14ac:dyDescent="0.3"/>
    <row r="215" ht="30.75" customHeight="1" x14ac:dyDescent="0.3"/>
    <row r="216" ht="30.75" customHeight="1" x14ac:dyDescent="0.3"/>
    <row r="217" ht="30.75" customHeight="1" x14ac:dyDescent="0.3"/>
    <row r="218" ht="30.75" customHeight="1" x14ac:dyDescent="0.3"/>
    <row r="219" ht="30.75" customHeight="1" x14ac:dyDescent="0.3"/>
    <row r="220" ht="30.75" customHeight="1" x14ac:dyDescent="0.3"/>
    <row r="221" ht="30.75" customHeight="1" x14ac:dyDescent="0.3"/>
    <row r="222" ht="30.75" customHeight="1" x14ac:dyDescent="0.3"/>
    <row r="223" ht="30.75" customHeight="1" x14ac:dyDescent="0.3"/>
    <row r="224" ht="30.75" customHeight="1" x14ac:dyDescent="0.3"/>
    <row r="225" ht="30.75" customHeight="1" x14ac:dyDescent="0.3"/>
    <row r="226" ht="30.75" customHeight="1" x14ac:dyDescent="0.3"/>
    <row r="227" ht="30.75" customHeight="1" x14ac:dyDescent="0.3"/>
    <row r="228" ht="30.75" customHeight="1" x14ac:dyDescent="0.3"/>
    <row r="229" ht="30.75" customHeight="1" x14ac:dyDescent="0.3"/>
    <row r="230" ht="30.75" customHeight="1" x14ac:dyDescent="0.3"/>
    <row r="231" ht="30.75" customHeight="1" x14ac:dyDescent="0.3"/>
    <row r="232" ht="30.75" customHeight="1" x14ac:dyDescent="0.3"/>
    <row r="233" ht="30.75" customHeight="1" x14ac:dyDescent="0.3"/>
    <row r="234" ht="30.75" customHeight="1" x14ac:dyDescent="0.3"/>
    <row r="235" ht="30.75" customHeight="1" x14ac:dyDescent="0.3"/>
    <row r="236" ht="30.75" customHeight="1" x14ac:dyDescent="0.3"/>
    <row r="237" ht="30.75" customHeight="1" x14ac:dyDescent="0.3"/>
    <row r="238" ht="30.75" customHeight="1" x14ac:dyDescent="0.3"/>
    <row r="239" ht="30.75" customHeight="1" x14ac:dyDescent="0.3"/>
    <row r="240" ht="30.75" customHeight="1" x14ac:dyDescent="0.3"/>
    <row r="241" ht="30.75" customHeight="1" x14ac:dyDescent="0.3"/>
    <row r="242" ht="30.75" customHeight="1" x14ac:dyDescent="0.3"/>
    <row r="243" ht="30.75" customHeight="1" x14ac:dyDescent="0.3"/>
    <row r="244" ht="30.75" customHeight="1" x14ac:dyDescent="0.3"/>
    <row r="245" ht="30.75" customHeight="1" x14ac:dyDescent="0.3"/>
    <row r="246" ht="30.75" customHeight="1" x14ac:dyDescent="0.3"/>
    <row r="247" ht="30.75" customHeight="1" x14ac:dyDescent="0.3"/>
    <row r="248" ht="30.75" customHeight="1" x14ac:dyDescent="0.3"/>
    <row r="249" ht="30.75" customHeight="1" x14ac:dyDescent="0.3"/>
    <row r="250" ht="30.75" customHeight="1" x14ac:dyDescent="0.3"/>
    <row r="251" ht="30.75" customHeight="1" x14ac:dyDescent="0.3"/>
    <row r="252" ht="30.75" customHeight="1" x14ac:dyDescent="0.3"/>
    <row r="253" ht="30.75" customHeight="1" x14ac:dyDescent="0.3"/>
    <row r="254" ht="30.75" customHeight="1" x14ac:dyDescent="0.3"/>
    <row r="255" ht="30.75" customHeight="1" x14ac:dyDescent="0.3"/>
    <row r="256" ht="30.75" customHeight="1" x14ac:dyDescent="0.3"/>
    <row r="257" ht="30.75" customHeight="1" x14ac:dyDescent="0.3"/>
    <row r="258" ht="30.75" customHeight="1" x14ac:dyDescent="0.3"/>
    <row r="259" ht="30.75" customHeight="1" x14ac:dyDescent="0.3"/>
    <row r="260" ht="30.75" customHeight="1" x14ac:dyDescent="0.3"/>
    <row r="261" ht="30.75" customHeight="1" x14ac:dyDescent="0.3"/>
    <row r="262" ht="30.75" customHeight="1" x14ac:dyDescent="0.3"/>
    <row r="263" ht="30.75" customHeight="1" x14ac:dyDescent="0.3"/>
    <row r="264" ht="30.75" customHeight="1" x14ac:dyDescent="0.3"/>
    <row r="265" ht="30.75" customHeight="1" x14ac:dyDescent="0.3"/>
    <row r="266" ht="30.75" customHeight="1" x14ac:dyDescent="0.3"/>
    <row r="267" ht="30.75" customHeight="1" x14ac:dyDescent="0.3"/>
    <row r="268" ht="30.75" customHeight="1" x14ac:dyDescent="0.3"/>
    <row r="269" ht="30.75" customHeight="1" x14ac:dyDescent="0.3"/>
    <row r="270" ht="42.75" customHeight="1" x14ac:dyDescent="0.3"/>
    <row r="271" ht="30.75" customHeight="1" x14ac:dyDescent="0.3"/>
    <row r="272" ht="44.25" customHeight="1" x14ac:dyDescent="0.3"/>
    <row r="273" ht="30.75" customHeight="1" x14ac:dyDescent="0.3"/>
    <row r="274" ht="40.5" customHeight="1" x14ac:dyDescent="0.3"/>
    <row r="275" ht="39.75" customHeight="1" x14ac:dyDescent="0.3"/>
    <row r="276" ht="30.75" customHeight="1" x14ac:dyDescent="0.3"/>
    <row r="277" ht="30.75" customHeight="1" x14ac:dyDescent="0.3"/>
    <row r="278" ht="30.75" customHeight="1" x14ac:dyDescent="0.3"/>
    <row r="279" ht="30.75" customHeight="1" x14ac:dyDescent="0.3"/>
    <row r="280" ht="30.75" customHeight="1" x14ac:dyDescent="0.3"/>
    <row r="281" ht="30.75" customHeight="1" x14ac:dyDescent="0.3"/>
    <row r="282" ht="30.75" customHeight="1" x14ac:dyDescent="0.3"/>
    <row r="283" ht="30.75" customHeight="1" x14ac:dyDescent="0.3"/>
    <row r="284" ht="30.75" customHeight="1" x14ac:dyDescent="0.3"/>
    <row r="285" ht="45.75" customHeight="1" x14ac:dyDescent="0.3"/>
    <row r="286" ht="30.75" customHeight="1" x14ac:dyDescent="0.3"/>
    <row r="287" ht="30.75" customHeight="1" x14ac:dyDescent="0.3"/>
    <row r="288" ht="30.75" customHeight="1" x14ac:dyDescent="0.3"/>
    <row r="289" ht="42" customHeight="1" x14ac:dyDescent="0.3"/>
    <row r="290" ht="30.75" customHeight="1" x14ac:dyDescent="0.3"/>
    <row r="291" ht="30.75" customHeight="1" x14ac:dyDescent="0.3"/>
    <row r="292" ht="30.75" customHeight="1" x14ac:dyDescent="0.3"/>
  </sheetData>
  <mergeCells count="160">
    <mergeCell ref="P59:Q60"/>
    <mergeCell ref="A55:A58"/>
    <mergeCell ref="D57:F57"/>
    <mergeCell ref="G57:I57"/>
    <mergeCell ref="J57:L57"/>
    <mergeCell ref="M57:O57"/>
    <mergeCell ref="D58:I58"/>
    <mergeCell ref="J58:O58"/>
    <mergeCell ref="M44:O44"/>
    <mergeCell ref="J51:L51"/>
    <mergeCell ref="M51:O51"/>
    <mergeCell ref="D52:F52"/>
    <mergeCell ref="G52:I52"/>
    <mergeCell ref="A51:A54"/>
    <mergeCell ref="D45:F45"/>
    <mergeCell ref="G45:I45"/>
    <mergeCell ref="J45:L45"/>
    <mergeCell ref="M45:O45"/>
    <mergeCell ref="A59:A61"/>
    <mergeCell ref="J52:L52"/>
    <mergeCell ref="M52:O52"/>
    <mergeCell ref="D54:I54"/>
    <mergeCell ref="D44:F44"/>
    <mergeCell ref="G44:I44"/>
    <mergeCell ref="A43:A45"/>
    <mergeCell ref="D53:I53"/>
    <mergeCell ref="A46:A50"/>
    <mergeCell ref="J53:O53"/>
    <mergeCell ref="A62:A65"/>
    <mergeCell ref="E3:F3"/>
    <mergeCell ref="D63:F63"/>
    <mergeCell ref="G63:I63"/>
    <mergeCell ref="J63:L63"/>
    <mergeCell ref="M63:O63"/>
    <mergeCell ref="D64:O64"/>
    <mergeCell ref="D65:F65"/>
    <mergeCell ref="G65:I65"/>
    <mergeCell ref="J65:L65"/>
    <mergeCell ref="M65:O65"/>
    <mergeCell ref="D51:F51"/>
    <mergeCell ref="G51:I51"/>
    <mergeCell ref="M5:O5"/>
    <mergeCell ref="D5:F5"/>
    <mergeCell ref="G5:I5"/>
    <mergeCell ref="J5:L5"/>
    <mergeCell ref="M14:O14"/>
    <mergeCell ref="D40:F40"/>
    <mergeCell ref="G40:I40"/>
    <mergeCell ref="J40:L40"/>
    <mergeCell ref="M40:O40"/>
    <mergeCell ref="M27:O27"/>
    <mergeCell ref="G30:I30"/>
    <mergeCell ref="G29:I29"/>
    <mergeCell ref="D28:F28"/>
    <mergeCell ref="G28:I28"/>
    <mergeCell ref="J54:O54"/>
    <mergeCell ref="G37:I37"/>
    <mergeCell ref="M37:O37"/>
    <mergeCell ref="D42:F42"/>
    <mergeCell ref="G42:I42"/>
    <mergeCell ref="J42:L42"/>
    <mergeCell ref="M42:O42"/>
    <mergeCell ref="D30:F30"/>
    <mergeCell ref="D37:F37"/>
    <mergeCell ref="J44:L44"/>
    <mergeCell ref="M55:O55"/>
    <mergeCell ref="D46:I46"/>
    <mergeCell ref="J46:O46"/>
    <mergeCell ref="D47:I47"/>
    <mergeCell ref="J47:O47"/>
    <mergeCell ref="D48:O48"/>
    <mergeCell ref="D49:O49"/>
    <mergeCell ref="D50:I50"/>
    <mergeCell ref="J50:O50"/>
    <mergeCell ref="D55:F55"/>
    <mergeCell ref="G55:I55"/>
    <mergeCell ref="J55:L55"/>
    <mergeCell ref="G14:I14"/>
    <mergeCell ref="G15:I15"/>
    <mergeCell ref="M21:O21"/>
    <mergeCell ref="D17:F17"/>
    <mergeCell ref="D18:F18"/>
    <mergeCell ref="D19:F19"/>
    <mergeCell ref="M18:O18"/>
    <mergeCell ref="J18:L18"/>
    <mergeCell ref="J19:L19"/>
    <mergeCell ref="M19:O19"/>
    <mergeCell ref="J20:L20"/>
    <mergeCell ref="A11:A12"/>
    <mergeCell ref="J7:L7"/>
    <mergeCell ref="J10:L10"/>
    <mergeCell ref="D8:F8"/>
    <mergeCell ref="A7:A10"/>
    <mergeCell ref="G21:I21"/>
    <mergeCell ref="J21:L21"/>
    <mergeCell ref="J37:L37"/>
    <mergeCell ref="A22:A27"/>
    <mergeCell ref="D24:F24"/>
    <mergeCell ref="D31:I31"/>
    <mergeCell ref="J31:O31"/>
    <mergeCell ref="D32:I32"/>
    <mergeCell ref="J32:O32"/>
    <mergeCell ref="D23:F23"/>
    <mergeCell ref="G23:I23"/>
    <mergeCell ref="J23:L23"/>
    <mergeCell ref="M23:O23"/>
    <mergeCell ref="A28:A30"/>
    <mergeCell ref="D29:F29"/>
    <mergeCell ref="A33:A37"/>
    <mergeCell ref="M17:O17"/>
    <mergeCell ref="A20:A21"/>
    <mergeCell ref="M15:O15"/>
    <mergeCell ref="A13:A16"/>
    <mergeCell ref="A17:A19"/>
    <mergeCell ref="A31:A32"/>
    <mergeCell ref="A38:A42"/>
    <mergeCell ref="G24:I24"/>
    <mergeCell ref="J24:L24"/>
    <mergeCell ref="M24:O24"/>
    <mergeCell ref="D25:F25"/>
    <mergeCell ref="G25:I25"/>
    <mergeCell ref="J25:L25"/>
    <mergeCell ref="M25:O25"/>
    <mergeCell ref="D26:F26"/>
    <mergeCell ref="G26:I26"/>
    <mergeCell ref="J26:L26"/>
    <mergeCell ref="M26:O26"/>
    <mergeCell ref="D22:F22"/>
    <mergeCell ref="G22:I22"/>
    <mergeCell ref="J22:L22"/>
    <mergeCell ref="M22:O22"/>
    <mergeCell ref="D27:F27"/>
    <mergeCell ref="G27:I27"/>
    <mergeCell ref="J27:L27"/>
    <mergeCell ref="D14:F14"/>
    <mergeCell ref="D15:F15"/>
    <mergeCell ref="D62:O62"/>
    <mergeCell ref="M7:O7"/>
    <mergeCell ref="M10:O10"/>
    <mergeCell ref="D7:F7"/>
    <mergeCell ref="D10:F10"/>
    <mergeCell ref="G7:I7"/>
    <mergeCell ref="G10:I10"/>
    <mergeCell ref="D20:F20"/>
    <mergeCell ref="D21:F21"/>
    <mergeCell ref="G20:I20"/>
    <mergeCell ref="J14:L14"/>
    <mergeCell ref="J15:L15"/>
    <mergeCell ref="D16:F16"/>
    <mergeCell ref="G16:I16"/>
    <mergeCell ref="J16:L16"/>
    <mergeCell ref="M16:O16"/>
    <mergeCell ref="G8:I8"/>
    <mergeCell ref="D9:I9"/>
    <mergeCell ref="J9:O9"/>
    <mergeCell ref="M20:O20"/>
    <mergeCell ref="G17:I17"/>
    <mergeCell ref="G18:I18"/>
    <mergeCell ref="G19:I19"/>
    <mergeCell ref="J17:L17"/>
  </mergeCells>
  <pageMargins left="0.31496062992125984" right="0.31496062992125984" top="0.35433070866141736" bottom="0.35433070866141736" header="0.31496062992125984" footer="0.19685039370078741"/>
  <pageSetup paperSize="9" scale="51" fitToHeight="0" orientation="portrait" r:id="rId1"/>
  <headerFooter>
    <oddFooter>&amp;C&amp;9&amp;K00-048&amp;P /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pageSetUpPr fitToPage="1"/>
  </sheetPr>
  <dimension ref="A1:P322"/>
  <sheetViews>
    <sheetView showGridLines="0" zoomScaleNormal="100" workbookViewId="0">
      <pane xSplit="3" ySplit="6" topLeftCell="D7" activePane="bottomRight" state="frozen"/>
      <selection pane="topRight" activeCell="D1" sqref="D1"/>
      <selection pane="bottomLeft" activeCell="A7" sqref="A7"/>
      <selection pane="bottomRight" activeCell="D10" sqref="D10:O10"/>
    </sheetView>
  </sheetViews>
  <sheetFormatPr baseColWidth="10" defaultRowHeight="14.4" x14ac:dyDescent="0.3"/>
  <cols>
    <col min="1" max="1" width="16.109375" customWidth="1"/>
    <col min="2" max="2" width="37" style="116" customWidth="1"/>
    <col min="3" max="3" width="26" bestFit="1" customWidth="1"/>
    <col min="4" max="5" width="16" customWidth="1"/>
    <col min="6" max="10" width="15.88671875" customWidth="1"/>
    <col min="11" max="12" width="15.88671875" style="116" customWidth="1"/>
    <col min="13" max="13" width="15.88671875" customWidth="1"/>
    <col min="14" max="15" width="16" customWidth="1"/>
    <col min="16" max="16" width="55.44140625" customWidth="1"/>
  </cols>
  <sheetData>
    <row r="1" spans="1:16" ht="15.6" x14ac:dyDescent="0.3">
      <c r="A1" s="1"/>
      <c r="B1" s="115"/>
      <c r="C1" s="3"/>
      <c r="D1" s="3"/>
      <c r="E1" s="3" t="s">
        <v>152</v>
      </c>
      <c r="F1" s="4"/>
      <c r="G1" s="143"/>
      <c r="M1" s="39" t="s">
        <v>137</v>
      </c>
    </row>
    <row r="2" spans="1:16" x14ac:dyDescent="0.3">
      <c r="A2" s="1"/>
      <c r="B2" s="115"/>
      <c r="C2" s="1"/>
      <c r="D2" s="1"/>
      <c r="E2" s="1"/>
      <c r="F2" s="1"/>
    </row>
    <row r="3" spans="1:16" x14ac:dyDescent="0.3">
      <c r="A3" s="1"/>
      <c r="B3" s="115"/>
      <c r="C3" s="1"/>
      <c r="D3" s="2" t="s">
        <v>65</v>
      </c>
      <c r="E3" s="854">
        <v>44278</v>
      </c>
      <c r="F3" s="854"/>
    </row>
    <row r="4" spans="1:16" x14ac:dyDescent="0.3">
      <c r="A4" s="1"/>
      <c r="B4" s="115"/>
      <c r="C4" s="1"/>
      <c r="D4" s="1"/>
      <c r="E4" s="1"/>
      <c r="F4" s="1"/>
    </row>
    <row r="5" spans="1:16" x14ac:dyDescent="0.3">
      <c r="A5" s="1"/>
      <c r="B5" s="115"/>
      <c r="C5" s="1"/>
      <c r="D5" s="940" t="s">
        <v>24</v>
      </c>
      <c r="E5" s="941"/>
      <c r="F5" s="942"/>
      <c r="G5" s="943" t="s">
        <v>25</v>
      </c>
      <c r="H5" s="941"/>
      <c r="I5" s="942"/>
      <c r="J5" s="943" t="s">
        <v>26</v>
      </c>
      <c r="K5" s="941"/>
      <c r="L5" s="942"/>
      <c r="M5" s="943" t="s">
        <v>27</v>
      </c>
      <c r="N5" s="941"/>
      <c r="O5" s="944"/>
    </row>
    <row r="6" spans="1:16" s="6" customFormat="1" ht="43.2" x14ac:dyDescent="0.3">
      <c r="A6" s="105" t="s">
        <v>0</v>
      </c>
      <c r="B6" s="105" t="s">
        <v>15</v>
      </c>
      <c r="C6" s="106" t="s">
        <v>324</v>
      </c>
      <c r="D6" s="107" t="s">
        <v>3</v>
      </c>
      <c r="E6" s="108" t="s">
        <v>4</v>
      </c>
      <c r="F6" s="108" t="s">
        <v>5</v>
      </c>
      <c r="G6" s="108" t="s">
        <v>6</v>
      </c>
      <c r="H6" s="108" t="s">
        <v>7</v>
      </c>
      <c r="I6" s="259" t="s">
        <v>323</v>
      </c>
      <c r="J6" s="108" t="s">
        <v>9</v>
      </c>
      <c r="K6" s="108" t="s">
        <v>10</v>
      </c>
      <c r="L6" s="108" t="s">
        <v>11</v>
      </c>
      <c r="M6" s="108" t="s">
        <v>12</v>
      </c>
      <c r="N6" s="108" t="s">
        <v>13</v>
      </c>
      <c r="O6" s="108" t="s">
        <v>14</v>
      </c>
    </row>
    <row r="7" spans="1:16" s="6" customFormat="1" ht="73.5" customHeight="1" x14ac:dyDescent="0.3">
      <c r="A7" s="871" t="s">
        <v>22</v>
      </c>
      <c r="B7" s="7" t="s">
        <v>194</v>
      </c>
      <c r="C7" s="33" t="s">
        <v>196</v>
      </c>
      <c r="D7" s="945"/>
      <c r="E7" s="946"/>
      <c r="F7" s="946"/>
      <c r="G7" s="844" t="s">
        <v>232</v>
      </c>
      <c r="H7" s="844"/>
      <c r="I7" s="844"/>
      <c r="J7" s="844">
        <v>13.46</v>
      </c>
      <c r="K7" s="844"/>
      <c r="L7" s="844"/>
      <c r="M7" s="844" t="s">
        <v>292</v>
      </c>
      <c r="N7" s="844"/>
      <c r="O7" s="844"/>
    </row>
    <row r="8" spans="1:16" s="6" customFormat="1" ht="66" customHeight="1" x14ac:dyDescent="0.3">
      <c r="A8" s="872"/>
      <c r="B8" s="7" t="s">
        <v>195</v>
      </c>
      <c r="C8" s="114" t="s">
        <v>197</v>
      </c>
      <c r="D8" s="947">
        <v>100</v>
      </c>
      <c r="E8" s="924"/>
      <c r="F8" s="924"/>
      <c r="G8" s="924" t="s">
        <v>233</v>
      </c>
      <c r="H8" s="924"/>
      <c r="I8" s="924"/>
      <c r="J8" s="924">
        <v>70</v>
      </c>
      <c r="K8" s="924"/>
      <c r="L8" s="924"/>
      <c r="M8" s="924">
        <v>61</v>
      </c>
      <c r="N8" s="924"/>
      <c r="O8" s="924"/>
    </row>
    <row r="9" spans="1:16" s="6" customFormat="1" ht="30.75" customHeight="1" x14ac:dyDescent="0.3">
      <c r="A9" s="872"/>
      <c r="B9" s="5" t="s">
        <v>76</v>
      </c>
      <c r="C9" s="34" t="s">
        <v>133</v>
      </c>
      <c r="D9" s="947">
        <v>1</v>
      </c>
      <c r="E9" s="924"/>
      <c r="F9" s="924"/>
      <c r="G9" s="924">
        <v>4</v>
      </c>
      <c r="H9" s="924"/>
      <c r="I9" s="924"/>
      <c r="J9" s="924">
        <v>4</v>
      </c>
      <c r="K9" s="924"/>
      <c r="L9" s="924"/>
      <c r="M9" s="924">
        <v>4</v>
      </c>
      <c r="N9" s="924"/>
      <c r="O9" s="924"/>
    </row>
    <row r="10" spans="1:16" s="6" customFormat="1" ht="30.75" customHeight="1" x14ac:dyDescent="0.3">
      <c r="A10" s="889"/>
      <c r="B10" s="13" t="s">
        <v>224</v>
      </c>
      <c r="C10" s="35" t="s">
        <v>96</v>
      </c>
      <c r="D10" s="948"/>
      <c r="E10" s="836"/>
      <c r="F10" s="836"/>
      <c r="G10" s="836"/>
      <c r="H10" s="836"/>
      <c r="I10" s="836"/>
      <c r="J10" s="836"/>
      <c r="K10" s="836"/>
      <c r="L10" s="836"/>
      <c r="M10" s="836"/>
      <c r="N10" s="836"/>
      <c r="O10" s="836"/>
    </row>
    <row r="11" spans="1:16" s="6" customFormat="1" ht="30.75" customHeight="1" x14ac:dyDescent="0.3">
      <c r="A11" s="871" t="s">
        <v>57</v>
      </c>
      <c r="B11" s="12" t="s">
        <v>274</v>
      </c>
      <c r="C11" s="170" t="s">
        <v>82</v>
      </c>
      <c r="D11" s="218">
        <v>0.74409999999999998</v>
      </c>
      <c r="E11" s="218">
        <v>0.84379999999999999</v>
      </c>
      <c r="F11" s="218">
        <v>0.80779999999999996</v>
      </c>
      <c r="G11" s="218" t="s">
        <v>275</v>
      </c>
      <c r="H11" s="218" t="s">
        <v>275</v>
      </c>
      <c r="I11" s="218" t="s">
        <v>275</v>
      </c>
      <c r="J11" s="218" t="s">
        <v>275</v>
      </c>
      <c r="K11" s="218" t="s">
        <v>275</v>
      </c>
      <c r="L11" s="218" t="s">
        <v>275</v>
      </c>
      <c r="M11" s="218" t="s">
        <v>275</v>
      </c>
      <c r="N11" s="218">
        <v>0.81799999999999995</v>
      </c>
      <c r="O11" s="218">
        <f>100%-32.44%</f>
        <v>0.67559999999999998</v>
      </c>
      <c r="P11" s="165">
        <f>AVERAGE(D11:O11)</f>
        <v>0.77785999999999988</v>
      </c>
    </row>
    <row r="12" spans="1:16" s="6" customFormat="1" ht="30.75" customHeight="1" x14ac:dyDescent="0.3">
      <c r="A12" s="872"/>
      <c r="B12" s="5" t="s">
        <v>276</v>
      </c>
      <c r="C12" s="93" t="s">
        <v>247</v>
      </c>
      <c r="D12" s="218">
        <f>1-7.25806451612903%</f>
        <v>0.92741935483870974</v>
      </c>
      <c r="E12" s="218">
        <f>1-11.2068965517241%</f>
        <v>0.88793103448275901</v>
      </c>
      <c r="F12" s="218">
        <f>1-12.0967741935484%</f>
        <v>0.87903225806451601</v>
      </c>
      <c r="G12" s="218">
        <f>1-11.6666666666667%</f>
        <v>0.88333333333333297</v>
      </c>
      <c r="H12" s="218">
        <f>1-8.87096774193548%</f>
        <v>0.91129032258064524</v>
      </c>
      <c r="I12" s="218">
        <f>1-5%</f>
        <v>0.95</v>
      </c>
      <c r="J12" s="218">
        <f t="shared" ref="J12:O12" si="0">1-0%</f>
        <v>1</v>
      </c>
      <c r="K12" s="218">
        <f t="shared" si="0"/>
        <v>1</v>
      </c>
      <c r="L12" s="218">
        <f t="shared" si="0"/>
        <v>1</v>
      </c>
      <c r="M12" s="218">
        <f t="shared" si="0"/>
        <v>1</v>
      </c>
      <c r="N12" s="218">
        <f t="shared" si="0"/>
        <v>1</v>
      </c>
      <c r="O12" s="218">
        <f t="shared" si="0"/>
        <v>1</v>
      </c>
      <c r="P12" s="165">
        <f t="shared" ref="P12" si="1">AVERAGE(D12:O12)</f>
        <v>0.95325052527499687</v>
      </c>
    </row>
    <row r="13" spans="1:16" s="6" customFormat="1" ht="30.75" customHeight="1" x14ac:dyDescent="0.3">
      <c r="A13" s="130"/>
      <c r="B13" s="8" t="s">
        <v>277</v>
      </c>
      <c r="C13" s="172" t="s">
        <v>248</v>
      </c>
      <c r="D13" s="218">
        <v>1</v>
      </c>
      <c r="E13" s="218">
        <v>1</v>
      </c>
      <c r="F13" s="218">
        <v>1</v>
      </c>
      <c r="G13" s="218">
        <v>1</v>
      </c>
      <c r="H13" s="218">
        <v>1</v>
      </c>
      <c r="I13" s="218">
        <v>1</v>
      </c>
      <c r="J13" s="218">
        <v>1</v>
      </c>
      <c r="K13" s="218">
        <v>1</v>
      </c>
      <c r="L13" s="218">
        <v>1</v>
      </c>
      <c r="M13" s="218">
        <v>1</v>
      </c>
      <c r="N13" s="218">
        <v>1</v>
      </c>
      <c r="O13" s="218">
        <v>1</v>
      </c>
      <c r="P13" s="165"/>
    </row>
    <row r="14" spans="1:16" s="6" customFormat="1" ht="30.75" customHeight="1" x14ac:dyDescent="0.3">
      <c r="A14" s="130"/>
      <c r="B14" s="12" t="s">
        <v>278</v>
      </c>
      <c r="C14" s="170" t="s">
        <v>82</v>
      </c>
      <c r="D14" s="219">
        <v>0.54710000000000003</v>
      </c>
      <c r="E14" s="220">
        <v>0.43</v>
      </c>
      <c r="F14" s="219">
        <v>0.45860000000000001</v>
      </c>
      <c r="G14" s="221" t="s">
        <v>275</v>
      </c>
      <c r="H14" s="221" t="s">
        <v>275</v>
      </c>
      <c r="I14" s="221" t="s">
        <v>275</v>
      </c>
      <c r="J14" s="221" t="s">
        <v>275</v>
      </c>
      <c r="K14" s="221" t="s">
        <v>275</v>
      </c>
      <c r="L14" s="220">
        <v>0.45</v>
      </c>
      <c r="M14" s="219">
        <v>0.66249999999999998</v>
      </c>
      <c r="N14" s="220">
        <v>0.75</v>
      </c>
      <c r="O14" s="219">
        <v>0.59330000000000005</v>
      </c>
      <c r="P14" s="165"/>
    </row>
    <row r="15" spans="1:16" s="6" customFormat="1" ht="30.75" customHeight="1" x14ac:dyDescent="0.3">
      <c r="A15" s="130"/>
      <c r="B15" s="5" t="s">
        <v>279</v>
      </c>
      <c r="C15" s="93" t="s">
        <v>247</v>
      </c>
      <c r="D15" s="218">
        <f t="shared" ref="D15:O15" si="2">1-0%</f>
        <v>1</v>
      </c>
      <c r="E15" s="218">
        <f t="shared" si="2"/>
        <v>1</v>
      </c>
      <c r="F15" s="218">
        <f t="shared" si="2"/>
        <v>1</v>
      </c>
      <c r="G15" s="218">
        <f t="shared" si="2"/>
        <v>1</v>
      </c>
      <c r="H15" s="218">
        <f t="shared" si="2"/>
        <v>1</v>
      </c>
      <c r="I15" s="218">
        <f t="shared" si="2"/>
        <v>1</v>
      </c>
      <c r="J15" s="218">
        <f t="shared" si="2"/>
        <v>1</v>
      </c>
      <c r="K15" s="218">
        <f t="shared" si="2"/>
        <v>1</v>
      </c>
      <c r="L15" s="218">
        <f t="shared" si="2"/>
        <v>1</v>
      </c>
      <c r="M15" s="218">
        <f t="shared" si="2"/>
        <v>1</v>
      </c>
      <c r="N15" s="218">
        <f t="shared" si="2"/>
        <v>1</v>
      </c>
      <c r="O15" s="218">
        <f t="shared" si="2"/>
        <v>1</v>
      </c>
      <c r="P15" s="165"/>
    </row>
    <row r="16" spans="1:16" s="6" customFormat="1" ht="30.75" customHeight="1" x14ac:dyDescent="0.3">
      <c r="A16" s="871" t="s">
        <v>75</v>
      </c>
      <c r="B16" s="12" t="s">
        <v>205</v>
      </c>
      <c r="C16" s="114" t="s">
        <v>140</v>
      </c>
      <c r="D16" s="167">
        <v>90549</v>
      </c>
      <c r="E16" s="167">
        <v>66706</v>
      </c>
      <c r="F16" s="167">
        <v>48087</v>
      </c>
      <c r="G16" s="167">
        <v>2099</v>
      </c>
      <c r="H16" s="167">
        <v>881</v>
      </c>
      <c r="I16" s="167">
        <v>2528</v>
      </c>
      <c r="J16" s="167">
        <v>2024</v>
      </c>
      <c r="K16" s="167">
        <v>3420</v>
      </c>
      <c r="L16" s="167">
        <v>7714</v>
      </c>
      <c r="M16" s="167">
        <v>11693</v>
      </c>
      <c r="N16" s="167">
        <v>6857.5570773192858</v>
      </c>
      <c r="O16" s="167">
        <v>6843.2603826833765</v>
      </c>
      <c r="P16" s="166">
        <f>SUM(D16:O16)</f>
        <v>249401.81746000264</v>
      </c>
    </row>
    <row r="17" spans="1:16" s="6" customFormat="1" ht="48.75" customHeight="1" x14ac:dyDescent="0.3">
      <c r="A17" s="872"/>
      <c r="B17" s="5" t="s">
        <v>249</v>
      </c>
      <c r="C17" s="114" t="s">
        <v>141</v>
      </c>
      <c r="D17" s="939">
        <v>0</v>
      </c>
      <c r="E17" s="939"/>
      <c r="F17" s="939"/>
      <c r="G17" s="939">
        <v>0</v>
      </c>
      <c r="H17" s="939"/>
      <c r="I17" s="939"/>
      <c r="J17" s="939">
        <v>0</v>
      </c>
      <c r="K17" s="939"/>
      <c r="L17" s="939"/>
      <c r="M17" s="939">
        <v>0</v>
      </c>
      <c r="N17" s="939"/>
      <c r="O17" s="939"/>
      <c r="P17" s="6">
        <f>AVERAGE(D17:O17)</f>
        <v>0</v>
      </c>
    </row>
    <row r="18" spans="1:16" s="6" customFormat="1" ht="48.75" customHeight="1" x14ac:dyDescent="0.3">
      <c r="A18" s="872"/>
      <c r="B18" s="5" t="s">
        <v>38</v>
      </c>
      <c r="C18" s="114" t="s">
        <v>142</v>
      </c>
      <c r="D18" s="939">
        <v>8</v>
      </c>
      <c r="E18" s="939"/>
      <c r="F18" s="939"/>
      <c r="G18" s="939">
        <v>5</v>
      </c>
      <c r="H18" s="939"/>
      <c r="I18" s="939"/>
      <c r="J18" s="939">
        <v>0</v>
      </c>
      <c r="K18" s="939"/>
      <c r="L18" s="939"/>
      <c r="M18" s="939">
        <v>0</v>
      </c>
      <c r="N18" s="939"/>
      <c r="O18" s="939"/>
      <c r="P18" s="6">
        <f>AVERAGE(5,8)</f>
        <v>6.5</v>
      </c>
    </row>
    <row r="19" spans="1:16" s="6" customFormat="1" ht="70.5" customHeight="1" x14ac:dyDescent="0.3">
      <c r="A19" s="869" t="s">
        <v>176</v>
      </c>
      <c r="B19" s="12" t="s">
        <v>191</v>
      </c>
      <c r="C19" s="112" t="s">
        <v>82</v>
      </c>
      <c r="D19" s="201"/>
      <c r="E19" s="201"/>
      <c r="F19" s="201"/>
      <c r="G19" s="201"/>
      <c r="H19" s="168">
        <v>0.56999999999999995</v>
      </c>
      <c r="I19" s="168">
        <v>1</v>
      </c>
      <c r="J19" s="169">
        <v>1</v>
      </c>
      <c r="K19" s="118">
        <v>0.74</v>
      </c>
      <c r="L19" s="118">
        <v>0.9</v>
      </c>
      <c r="M19" s="168">
        <v>0.71</v>
      </c>
      <c r="N19" s="168">
        <v>1</v>
      </c>
      <c r="O19" s="109">
        <v>1</v>
      </c>
      <c r="P19" s="164">
        <f>+AVERAGE(H19:O19)</f>
        <v>0.86499999999999999</v>
      </c>
    </row>
    <row r="20" spans="1:16" s="6" customFormat="1" ht="57" customHeight="1" x14ac:dyDescent="0.3">
      <c r="A20" s="872"/>
      <c r="B20" s="7" t="s">
        <v>192</v>
      </c>
      <c r="C20" s="112" t="s">
        <v>82</v>
      </c>
      <c r="D20" s="201"/>
      <c r="E20" s="201"/>
      <c r="F20" s="201"/>
      <c r="G20" s="201"/>
      <c r="H20" s="168" t="s">
        <v>251</v>
      </c>
      <c r="I20" s="168" t="s">
        <v>251</v>
      </c>
      <c r="J20" s="169" t="s">
        <v>251</v>
      </c>
      <c r="K20" s="118" t="s">
        <v>251</v>
      </c>
      <c r="L20" s="118">
        <v>1</v>
      </c>
      <c r="M20" s="168" t="s">
        <v>251</v>
      </c>
      <c r="N20" s="168">
        <v>1</v>
      </c>
      <c r="O20" s="109" t="s">
        <v>251</v>
      </c>
      <c r="P20" s="164">
        <f>+AVERAGE(H20:O20)</f>
        <v>1</v>
      </c>
    </row>
    <row r="21" spans="1:16" s="6" customFormat="1" ht="28.8" x14ac:dyDescent="0.3">
      <c r="A21" s="871" t="s">
        <v>42</v>
      </c>
      <c r="B21" s="12" t="s">
        <v>40</v>
      </c>
      <c r="C21" s="36" t="s">
        <v>96</v>
      </c>
      <c r="D21" s="843">
        <v>1</v>
      </c>
      <c r="E21" s="794"/>
      <c r="F21" s="800"/>
      <c r="G21" s="815">
        <v>1</v>
      </c>
      <c r="H21" s="794"/>
      <c r="I21" s="800"/>
      <c r="J21" s="815">
        <v>1</v>
      </c>
      <c r="K21" s="794"/>
      <c r="L21" s="800"/>
      <c r="M21" s="815">
        <v>1</v>
      </c>
      <c r="N21" s="794"/>
      <c r="O21" s="800"/>
    </row>
    <row r="22" spans="1:16" s="6" customFormat="1" ht="28.8" x14ac:dyDescent="0.3">
      <c r="A22" s="872"/>
      <c r="B22" s="5" t="s">
        <v>234</v>
      </c>
      <c r="C22" s="34" t="s">
        <v>138</v>
      </c>
      <c r="D22" s="813">
        <v>7</v>
      </c>
      <c r="E22" s="811"/>
      <c r="F22" s="811"/>
      <c r="G22" s="811"/>
      <c r="H22" s="811"/>
      <c r="I22" s="812"/>
      <c r="J22" s="810">
        <v>2</v>
      </c>
      <c r="K22" s="811"/>
      <c r="L22" s="811"/>
      <c r="M22" s="811"/>
      <c r="N22" s="811"/>
      <c r="O22" s="812"/>
    </row>
    <row r="23" spans="1:16" s="6" customFormat="1" ht="30.75" customHeight="1" x14ac:dyDescent="0.3">
      <c r="A23" s="872"/>
      <c r="B23" s="13" t="s">
        <v>41</v>
      </c>
      <c r="C23" s="35" t="s">
        <v>138</v>
      </c>
      <c r="D23" s="798">
        <v>5</v>
      </c>
      <c r="E23" s="798"/>
      <c r="F23" s="801"/>
      <c r="G23" s="797">
        <v>2</v>
      </c>
      <c r="H23" s="798"/>
      <c r="I23" s="801"/>
      <c r="J23" s="797">
        <v>1</v>
      </c>
      <c r="K23" s="798"/>
      <c r="L23" s="801"/>
      <c r="M23" s="797">
        <v>1</v>
      </c>
      <c r="N23" s="798"/>
      <c r="O23" s="801"/>
    </row>
    <row r="24" spans="1:16" s="6" customFormat="1" ht="28.8" x14ac:dyDescent="0.3">
      <c r="A24" s="871" t="s">
        <v>29</v>
      </c>
      <c r="B24" s="12" t="s">
        <v>175</v>
      </c>
      <c r="C24" s="76" t="s">
        <v>250</v>
      </c>
      <c r="D24" s="61">
        <v>0</v>
      </c>
      <c r="E24" s="61">
        <v>1</v>
      </c>
      <c r="F24" s="61">
        <v>0</v>
      </c>
      <c r="G24" s="61">
        <v>0</v>
      </c>
      <c r="H24" s="61">
        <v>0</v>
      </c>
      <c r="I24" s="61">
        <v>1</v>
      </c>
      <c r="J24" s="17">
        <v>0</v>
      </c>
      <c r="K24" s="61">
        <v>0</v>
      </c>
      <c r="L24" s="61">
        <v>0</v>
      </c>
      <c r="M24" s="17">
        <v>0</v>
      </c>
      <c r="N24" s="17">
        <v>0</v>
      </c>
      <c r="O24" s="17">
        <v>0</v>
      </c>
    </row>
    <row r="25" spans="1:16" s="6" customFormat="1" ht="30.75" customHeight="1" x14ac:dyDescent="0.3">
      <c r="A25" s="872"/>
      <c r="B25" s="5" t="s">
        <v>188</v>
      </c>
      <c r="C25" s="95" t="s">
        <v>119</v>
      </c>
      <c r="D25" s="28">
        <v>0</v>
      </c>
      <c r="E25" s="28">
        <v>0</v>
      </c>
      <c r="F25" s="28">
        <v>0</v>
      </c>
      <c r="G25" s="28">
        <v>0</v>
      </c>
      <c r="H25" s="28">
        <v>0</v>
      </c>
      <c r="I25" s="28">
        <v>1</v>
      </c>
      <c r="J25" s="28">
        <v>0</v>
      </c>
      <c r="K25" s="28">
        <v>0</v>
      </c>
      <c r="L25" s="28">
        <v>0</v>
      </c>
      <c r="M25" s="28">
        <v>0</v>
      </c>
      <c r="N25" s="28">
        <v>0</v>
      </c>
      <c r="O25" s="28">
        <v>0</v>
      </c>
    </row>
    <row r="26" spans="1:16" s="6" customFormat="1" ht="30.75" customHeight="1" x14ac:dyDescent="0.3">
      <c r="A26" s="872"/>
      <c r="B26" s="5" t="s">
        <v>225</v>
      </c>
      <c r="C26" s="113" t="s">
        <v>133</v>
      </c>
      <c r="D26" s="810">
        <v>5</v>
      </c>
      <c r="E26" s="811"/>
      <c r="F26" s="811"/>
      <c r="G26" s="811"/>
      <c r="H26" s="811"/>
      <c r="I26" s="812"/>
      <c r="J26" s="810">
        <v>3</v>
      </c>
      <c r="K26" s="811"/>
      <c r="L26" s="811"/>
      <c r="M26" s="811"/>
      <c r="N26" s="811"/>
      <c r="O26" s="812"/>
    </row>
    <row r="27" spans="1:16" s="6" customFormat="1" ht="48" customHeight="1" x14ac:dyDescent="0.3">
      <c r="A27" s="872"/>
      <c r="B27" s="5" t="s">
        <v>189</v>
      </c>
      <c r="C27" s="77" t="s">
        <v>80</v>
      </c>
      <c r="D27" s="820">
        <v>0.95</v>
      </c>
      <c r="E27" s="811"/>
      <c r="F27" s="811"/>
      <c r="G27" s="811"/>
      <c r="H27" s="811"/>
      <c r="I27" s="811"/>
      <c r="J27" s="811"/>
      <c r="K27" s="811"/>
      <c r="L27" s="811"/>
      <c r="M27" s="811"/>
      <c r="N27" s="811"/>
      <c r="O27" s="812"/>
    </row>
    <row r="28" spans="1:16" s="6" customFormat="1" ht="50.25" customHeight="1" x14ac:dyDescent="0.3">
      <c r="A28" s="889"/>
      <c r="B28" s="8" t="s">
        <v>190</v>
      </c>
      <c r="C28" s="87" t="s">
        <v>80</v>
      </c>
      <c r="D28" s="917">
        <v>0.71</v>
      </c>
      <c r="E28" s="802"/>
      <c r="F28" s="802"/>
      <c r="G28" s="802"/>
      <c r="H28" s="802"/>
      <c r="I28" s="802"/>
      <c r="J28" s="802"/>
      <c r="K28" s="802"/>
      <c r="L28" s="802"/>
      <c r="M28" s="802"/>
      <c r="N28" s="802"/>
      <c r="O28" s="803"/>
    </row>
    <row r="29" spans="1:16" s="96" customFormat="1" ht="30.75" customHeight="1" x14ac:dyDescent="0.3">
      <c r="A29" s="871" t="s">
        <v>43</v>
      </c>
      <c r="B29" s="7" t="s">
        <v>44</v>
      </c>
      <c r="C29" s="125" t="s">
        <v>89</v>
      </c>
      <c r="D29" s="966">
        <v>0.4884</v>
      </c>
      <c r="E29" s="894"/>
      <c r="F29" s="895"/>
      <c r="G29" s="893">
        <v>0.4884</v>
      </c>
      <c r="H29" s="894"/>
      <c r="I29" s="895"/>
      <c r="J29" s="890">
        <v>0.4884</v>
      </c>
      <c r="K29" s="891"/>
      <c r="L29" s="892"/>
      <c r="M29" s="893"/>
      <c r="N29" s="894"/>
      <c r="O29" s="895"/>
    </row>
    <row r="30" spans="1:16" s="6" customFormat="1" ht="30.75" customHeight="1" x14ac:dyDescent="0.3">
      <c r="A30" s="872"/>
      <c r="B30" s="5" t="s">
        <v>45</v>
      </c>
      <c r="C30" s="93" t="s">
        <v>82</v>
      </c>
      <c r="D30" s="824">
        <v>0.9</v>
      </c>
      <c r="E30" s="811"/>
      <c r="F30" s="812"/>
      <c r="G30" s="820">
        <v>0.9</v>
      </c>
      <c r="H30" s="811"/>
      <c r="I30" s="812"/>
      <c r="J30" s="901">
        <v>0.96</v>
      </c>
      <c r="K30" s="902"/>
      <c r="L30" s="903"/>
      <c r="M30" s="820"/>
      <c r="N30" s="811"/>
      <c r="O30" s="812"/>
    </row>
    <row r="31" spans="1:16" s="6" customFormat="1" ht="45.75" customHeight="1" x14ac:dyDescent="0.3">
      <c r="A31" s="872"/>
      <c r="B31" s="5" t="s">
        <v>179</v>
      </c>
      <c r="C31" s="34" t="s">
        <v>90</v>
      </c>
      <c r="D31" s="824">
        <v>0.75</v>
      </c>
      <c r="E31" s="811"/>
      <c r="F31" s="812"/>
      <c r="G31" s="820">
        <v>0.81</v>
      </c>
      <c r="H31" s="811"/>
      <c r="I31" s="812"/>
      <c r="J31" s="821">
        <v>0.91</v>
      </c>
      <c r="K31" s="822"/>
      <c r="L31" s="823"/>
      <c r="M31" s="820"/>
      <c r="N31" s="811"/>
      <c r="O31" s="812"/>
    </row>
    <row r="32" spans="1:16" s="6" customFormat="1" ht="30.75" customHeight="1" x14ac:dyDescent="0.3">
      <c r="A32" s="872"/>
      <c r="B32" s="5" t="s">
        <v>47</v>
      </c>
      <c r="C32" s="34" t="s">
        <v>123</v>
      </c>
      <c r="D32" s="824">
        <v>0.01</v>
      </c>
      <c r="E32" s="811"/>
      <c r="F32" s="812"/>
      <c r="G32" s="820">
        <v>2.4400000000000002E-2</v>
      </c>
      <c r="H32" s="811"/>
      <c r="I32" s="812"/>
      <c r="J32" s="821">
        <v>2.8299999999999999E-2</v>
      </c>
      <c r="K32" s="822"/>
      <c r="L32" s="823"/>
      <c r="M32" s="820"/>
      <c r="N32" s="811"/>
      <c r="O32" s="812"/>
    </row>
    <row r="33" spans="1:16" s="6" customFormat="1" ht="30.75" customHeight="1" x14ac:dyDescent="0.3">
      <c r="A33" s="872"/>
      <c r="B33" s="5" t="s">
        <v>83</v>
      </c>
      <c r="C33" s="65" t="s">
        <v>177</v>
      </c>
      <c r="D33" s="826">
        <v>0</v>
      </c>
      <c r="E33" s="822"/>
      <c r="F33" s="823"/>
      <c r="G33" s="826">
        <v>0</v>
      </c>
      <c r="H33" s="822"/>
      <c r="I33" s="823"/>
      <c r="J33" s="826">
        <v>185000000</v>
      </c>
      <c r="K33" s="822"/>
      <c r="L33" s="823"/>
      <c r="M33" s="810"/>
      <c r="N33" s="811"/>
      <c r="O33" s="812"/>
    </row>
    <row r="34" spans="1:16" s="6" customFormat="1" ht="30.75" customHeight="1" x14ac:dyDescent="0.3">
      <c r="A34" s="872"/>
      <c r="B34" s="13" t="s">
        <v>178</v>
      </c>
      <c r="C34" s="35" t="s">
        <v>124</v>
      </c>
      <c r="D34" s="900">
        <v>0.39</v>
      </c>
      <c r="E34" s="798"/>
      <c r="F34" s="801"/>
      <c r="G34" s="904">
        <v>0.47</v>
      </c>
      <c r="H34" s="798"/>
      <c r="I34" s="801"/>
      <c r="J34" s="905">
        <v>0</v>
      </c>
      <c r="K34" s="906"/>
      <c r="L34" s="907"/>
      <c r="M34" s="904"/>
      <c r="N34" s="798"/>
      <c r="O34" s="801"/>
    </row>
    <row r="35" spans="1:16" s="117" customFormat="1" ht="30.75" customHeight="1" x14ac:dyDescent="0.3">
      <c r="A35" s="889"/>
      <c r="B35" s="8" t="s">
        <v>39</v>
      </c>
      <c r="C35" s="193" t="s">
        <v>131</v>
      </c>
      <c r="D35" s="831">
        <v>0.6</v>
      </c>
      <c r="E35" s="802"/>
      <c r="F35" s="803"/>
      <c r="G35" s="832">
        <v>0.85</v>
      </c>
      <c r="H35" s="802"/>
      <c r="I35" s="803"/>
      <c r="J35" s="908">
        <v>0.92</v>
      </c>
      <c r="K35" s="909"/>
      <c r="L35" s="910"/>
      <c r="M35" s="832"/>
      <c r="N35" s="802"/>
      <c r="O35" s="803"/>
    </row>
    <row r="36" spans="1:16" s="6" customFormat="1" ht="30.75" customHeight="1" x14ac:dyDescent="0.3">
      <c r="A36" s="871" t="s">
        <v>19</v>
      </c>
      <c r="B36" s="12" t="s">
        <v>255</v>
      </c>
      <c r="C36" s="194" t="s">
        <v>244</v>
      </c>
      <c r="D36" s="918">
        <v>4209985.92</v>
      </c>
      <c r="E36" s="919"/>
      <c r="F36" s="920"/>
      <c r="G36" s="919">
        <v>4285338.99</v>
      </c>
      <c r="H36" s="919"/>
      <c r="I36" s="920"/>
      <c r="J36" s="883">
        <v>3630661.33</v>
      </c>
      <c r="K36" s="884"/>
      <c r="L36" s="885"/>
      <c r="M36" s="914">
        <v>4630629.1399999997</v>
      </c>
      <c r="N36" s="915"/>
      <c r="O36" s="916"/>
    </row>
    <row r="37" spans="1:16" s="6" customFormat="1" ht="30.75" customHeight="1" x14ac:dyDescent="0.3">
      <c r="A37" s="872"/>
      <c r="B37" s="5" t="s">
        <v>256</v>
      </c>
      <c r="C37" s="193" t="s">
        <v>245</v>
      </c>
      <c r="D37" s="886">
        <v>11401</v>
      </c>
      <c r="E37" s="887"/>
      <c r="F37" s="888"/>
      <c r="G37" s="896">
        <v>5674</v>
      </c>
      <c r="H37" s="887"/>
      <c r="I37" s="888"/>
      <c r="J37" s="897">
        <v>5112</v>
      </c>
      <c r="K37" s="898"/>
      <c r="L37" s="899"/>
      <c r="M37" s="190"/>
      <c r="N37" s="191"/>
      <c r="O37" s="192">
        <v>13469</v>
      </c>
    </row>
    <row r="38" spans="1:16" s="6" customFormat="1" ht="30.75" customHeight="1" x14ac:dyDescent="0.3">
      <c r="A38" s="872"/>
      <c r="B38" s="8" t="s">
        <v>257</v>
      </c>
      <c r="C38" s="193" t="s">
        <v>246</v>
      </c>
      <c r="D38" s="837">
        <v>1</v>
      </c>
      <c r="E38" s="802"/>
      <c r="F38" s="803"/>
      <c r="G38" s="816">
        <v>0</v>
      </c>
      <c r="H38" s="802"/>
      <c r="I38" s="803"/>
      <c r="J38" s="911">
        <v>2</v>
      </c>
      <c r="K38" s="912"/>
      <c r="L38" s="913"/>
      <c r="M38" s="816">
        <v>1</v>
      </c>
      <c r="N38" s="802"/>
      <c r="O38" s="803"/>
    </row>
    <row r="39" spans="1:16" s="6" customFormat="1" ht="30.75" customHeight="1" x14ac:dyDescent="0.3">
      <c r="A39" s="869" t="s">
        <v>48</v>
      </c>
      <c r="B39" s="222" t="s">
        <v>235</v>
      </c>
      <c r="C39" s="223" t="s">
        <v>236</v>
      </c>
      <c r="D39" s="873">
        <v>0.98</v>
      </c>
      <c r="E39" s="873"/>
      <c r="F39" s="873"/>
      <c r="G39" s="873"/>
      <c r="H39" s="873"/>
      <c r="I39" s="873"/>
      <c r="J39" s="874">
        <v>1</v>
      </c>
      <c r="K39" s="874"/>
      <c r="L39" s="874"/>
      <c r="M39" s="874"/>
      <c r="N39" s="874"/>
      <c r="O39" s="875"/>
      <c r="P39" s="164">
        <f>AVERAGE(D39:O39)</f>
        <v>0.99</v>
      </c>
    </row>
    <row r="40" spans="1:16" s="6" customFormat="1" ht="41.4" x14ac:dyDescent="0.3">
      <c r="A40" s="870"/>
      <c r="B40" s="224" t="s">
        <v>237</v>
      </c>
      <c r="C40" s="95" t="s">
        <v>238</v>
      </c>
      <c r="D40" s="876">
        <v>0.68</v>
      </c>
      <c r="E40" s="876"/>
      <c r="F40" s="876"/>
      <c r="G40" s="876"/>
      <c r="H40" s="876"/>
      <c r="I40" s="876"/>
      <c r="J40" s="878">
        <v>0.95</v>
      </c>
      <c r="K40" s="878"/>
      <c r="L40" s="878"/>
      <c r="M40" s="878"/>
      <c r="N40" s="878"/>
      <c r="O40" s="879"/>
      <c r="P40" s="164"/>
    </row>
    <row r="41" spans="1:16" s="6" customFormat="1" ht="57.6" x14ac:dyDescent="0.3">
      <c r="A41" s="870"/>
      <c r="B41" s="224" t="s">
        <v>280</v>
      </c>
      <c r="C41" s="95" t="s">
        <v>281</v>
      </c>
      <c r="D41" s="881">
        <v>0.98</v>
      </c>
      <c r="E41" s="881"/>
      <c r="F41" s="881"/>
      <c r="G41" s="881"/>
      <c r="H41" s="881"/>
      <c r="I41" s="881"/>
      <c r="J41" s="881">
        <v>1</v>
      </c>
      <c r="K41" s="881"/>
      <c r="L41" s="881"/>
      <c r="M41" s="881"/>
      <c r="N41" s="881"/>
      <c r="O41" s="882"/>
      <c r="P41" s="164">
        <f>AVERAGE(D40:O40)</f>
        <v>0.81499999999999995</v>
      </c>
    </row>
    <row r="42" spans="1:16" s="6" customFormat="1" ht="72" x14ac:dyDescent="0.3">
      <c r="A42" s="870"/>
      <c r="B42" s="225" t="s">
        <v>282</v>
      </c>
      <c r="C42" s="226" t="s">
        <v>96</v>
      </c>
      <c r="D42" s="877">
        <v>0.56000000000000005</v>
      </c>
      <c r="E42" s="877"/>
      <c r="F42" s="877"/>
      <c r="G42" s="877"/>
      <c r="H42" s="877"/>
      <c r="I42" s="877"/>
      <c r="J42" s="877">
        <v>0.55000000000000004</v>
      </c>
      <c r="K42" s="877"/>
      <c r="L42" s="877"/>
      <c r="M42" s="877"/>
      <c r="N42" s="877"/>
      <c r="O42" s="880"/>
      <c r="P42" s="164">
        <f t="shared" ref="P42" si="3">AVERAGE(D42:O42)</f>
        <v>0.55500000000000005</v>
      </c>
    </row>
    <row r="43" spans="1:16" s="6" customFormat="1" ht="30.75" customHeight="1" x14ac:dyDescent="0.3">
      <c r="A43" s="871" t="s">
        <v>186</v>
      </c>
      <c r="B43" s="12" t="s">
        <v>144</v>
      </c>
      <c r="C43" s="34" t="s">
        <v>284</v>
      </c>
      <c r="D43" s="94">
        <v>0.99</v>
      </c>
      <c r="E43" s="101" t="s">
        <v>145</v>
      </c>
      <c r="F43" s="101" t="s">
        <v>146</v>
      </c>
      <c r="G43" s="97">
        <v>0.99</v>
      </c>
      <c r="H43" s="100">
        <v>0.93</v>
      </c>
      <c r="I43" s="231">
        <v>0</v>
      </c>
      <c r="J43" s="231">
        <v>0</v>
      </c>
      <c r="K43" s="232">
        <v>0</v>
      </c>
      <c r="L43" s="121">
        <v>0.71</v>
      </c>
      <c r="M43" s="121">
        <v>0.95</v>
      </c>
      <c r="N43" s="121">
        <v>0.86699999999999999</v>
      </c>
      <c r="O43" s="227">
        <v>1</v>
      </c>
    </row>
    <row r="44" spans="1:16" s="6" customFormat="1" ht="30.75" customHeight="1" x14ac:dyDescent="0.3">
      <c r="A44" s="872"/>
      <c r="B44" s="7" t="s">
        <v>147</v>
      </c>
      <c r="C44" s="34" t="s">
        <v>284</v>
      </c>
      <c r="D44" s="102" t="s">
        <v>121</v>
      </c>
      <c r="E44" s="102" t="s">
        <v>121</v>
      </c>
      <c r="F44" s="102" t="s">
        <v>121</v>
      </c>
      <c r="G44" s="98">
        <v>1</v>
      </c>
      <c r="H44" s="98">
        <v>1</v>
      </c>
      <c r="I44" s="98">
        <v>1</v>
      </c>
      <c r="J44" s="98">
        <v>1</v>
      </c>
      <c r="K44" s="111">
        <v>0.995</v>
      </c>
      <c r="L44" s="118">
        <v>1</v>
      </c>
      <c r="M44" s="121">
        <v>1</v>
      </c>
      <c r="N44" s="228">
        <v>5.8999999999999997E-2</v>
      </c>
      <c r="O44" s="229">
        <v>0.253</v>
      </c>
    </row>
    <row r="45" spans="1:16" s="6" customFormat="1" ht="30.75" customHeight="1" x14ac:dyDescent="0.3">
      <c r="A45" s="872"/>
      <c r="B45" s="7" t="s">
        <v>148</v>
      </c>
      <c r="C45" s="34" t="s">
        <v>285</v>
      </c>
      <c r="D45" s="75">
        <v>100</v>
      </c>
      <c r="E45" s="102" t="s">
        <v>121</v>
      </c>
      <c r="F45" s="102" t="s">
        <v>121</v>
      </c>
      <c r="G45" s="98">
        <v>1</v>
      </c>
      <c r="H45" s="98">
        <v>1</v>
      </c>
      <c r="I45" s="98">
        <v>1</v>
      </c>
      <c r="J45" s="98">
        <v>1</v>
      </c>
      <c r="K45" s="118">
        <v>1</v>
      </c>
      <c r="L45" s="118">
        <v>1</v>
      </c>
      <c r="M45" s="121">
        <v>1</v>
      </c>
      <c r="N45" s="121">
        <v>1</v>
      </c>
      <c r="O45" s="227">
        <v>1</v>
      </c>
    </row>
    <row r="46" spans="1:16" s="6" customFormat="1" ht="30.75" customHeight="1" x14ac:dyDescent="0.3">
      <c r="A46" s="872"/>
      <c r="B46" s="7" t="s">
        <v>149</v>
      </c>
      <c r="C46" s="34" t="s">
        <v>285</v>
      </c>
      <c r="D46" s="75">
        <v>99</v>
      </c>
      <c r="E46" s="102" t="s">
        <v>121</v>
      </c>
      <c r="F46" s="102" t="s">
        <v>121</v>
      </c>
      <c r="G46" s="98">
        <v>1</v>
      </c>
      <c r="H46" s="98">
        <v>1</v>
      </c>
      <c r="I46" s="98">
        <v>1</v>
      </c>
      <c r="J46" s="98">
        <v>1</v>
      </c>
      <c r="K46" s="118">
        <v>1</v>
      </c>
      <c r="L46" s="118">
        <v>1</v>
      </c>
      <c r="M46" s="121">
        <v>1</v>
      </c>
      <c r="N46" s="121">
        <v>1</v>
      </c>
      <c r="O46" s="227">
        <v>1</v>
      </c>
    </row>
    <row r="47" spans="1:16" s="6" customFormat="1" ht="30.75" customHeight="1" x14ac:dyDescent="0.3">
      <c r="A47" s="872"/>
      <c r="B47" s="7" t="s">
        <v>74</v>
      </c>
      <c r="C47" s="34" t="s">
        <v>285</v>
      </c>
      <c r="D47" s="75">
        <v>66</v>
      </c>
      <c r="E47" s="102" t="s">
        <v>146</v>
      </c>
      <c r="F47" s="102" t="s">
        <v>121</v>
      </c>
      <c r="G47" s="110">
        <v>0.83</v>
      </c>
      <c r="H47" s="110">
        <v>0.86</v>
      </c>
      <c r="I47" s="98">
        <v>1</v>
      </c>
      <c r="J47" s="98">
        <v>1</v>
      </c>
      <c r="K47" s="120">
        <v>0.96</v>
      </c>
      <c r="L47" s="120">
        <v>0.84</v>
      </c>
      <c r="M47" s="121">
        <v>1</v>
      </c>
      <c r="N47" s="121">
        <v>1</v>
      </c>
      <c r="O47" s="227">
        <v>0.96</v>
      </c>
    </row>
    <row r="48" spans="1:16" s="6" customFormat="1" ht="30.75" customHeight="1" x14ac:dyDescent="0.3">
      <c r="A48" s="872"/>
      <c r="B48" s="7" t="s">
        <v>150</v>
      </c>
      <c r="C48" s="34" t="s">
        <v>286</v>
      </c>
      <c r="D48" s="75" t="s">
        <v>121</v>
      </c>
      <c r="E48" s="102" t="s">
        <v>121</v>
      </c>
      <c r="F48" s="102" t="s">
        <v>121</v>
      </c>
      <c r="G48" s="99">
        <v>1</v>
      </c>
      <c r="H48" s="99">
        <v>1</v>
      </c>
      <c r="I48" s="98">
        <v>1</v>
      </c>
      <c r="J48" s="98">
        <v>1</v>
      </c>
      <c r="K48" s="120">
        <v>1</v>
      </c>
      <c r="L48" s="120">
        <v>1</v>
      </c>
      <c r="M48" s="121">
        <v>1</v>
      </c>
      <c r="N48" s="121">
        <v>1</v>
      </c>
      <c r="O48" s="227">
        <v>1</v>
      </c>
    </row>
    <row r="49" spans="1:15" s="6" customFormat="1" ht="30.75" customHeight="1" x14ac:dyDescent="0.3">
      <c r="A49" s="872"/>
      <c r="B49" s="7" t="s">
        <v>180</v>
      </c>
      <c r="C49" s="34" t="s">
        <v>286</v>
      </c>
      <c r="D49" s="75" t="s">
        <v>121</v>
      </c>
      <c r="E49" s="102" t="s">
        <v>121</v>
      </c>
      <c r="F49" s="102" t="s">
        <v>121</v>
      </c>
      <c r="G49" s="99">
        <v>1</v>
      </c>
      <c r="H49" s="99">
        <v>1</v>
      </c>
      <c r="I49" s="98">
        <v>1</v>
      </c>
      <c r="J49" s="98">
        <v>1</v>
      </c>
      <c r="K49" s="120">
        <v>1</v>
      </c>
      <c r="L49" s="120">
        <v>1</v>
      </c>
      <c r="M49" s="121">
        <v>1</v>
      </c>
      <c r="N49" s="121">
        <v>1</v>
      </c>
      <c r="O49" s="227">
        <v>1</v>
      </c>
    </row>
    <row r="50" spans="1:15" s="6" customFormat="1" ht="30.75" customHeight="1" x14ac:dyDescent="0.3">
      <c r="A50" s="872"/>
      <c r="B50" s="54" t="s">
        <v>151</v>
      </c>
      <c r="C50" s="35" t="s">
        <v>284</v>
      </c>
      <c r="D50" s="103" t="s">
        <v>121</v>
      </c>
      <c r="E50" s="104" t="s">
        <v>145</v>
      </c>
      <c r="F50" s="104" t="s">
        <v>121</v>
      </c>
      <c r="G50" s="99">
        <v>1</v>
      </c>
      <c r="H50" s="99">
        <v>1</v>
      </c>
      <c r="I50" s="99">
        <v>1</v>
      </c>
      <c r="J50" s="99">
        <v>1</v>
      </c>
      <c r="K50" s="120">
        <v>1</v>
      </c>
      <c r="L50" s="120">
        <v>0.98</v>
      </c>
      <c r="M50" s="121">
        <v>0.98</v>
      </c>
      <c r="N50" s="121">
        <v>0.98</v>
      </c>
      <c r="O50" s="227">
        <v>0.98</v>
      </c>
    </row>
    <row r="51" spans="1:15" s="6" customFormat="1" ht="30.75" customHeight="1" x14ac:dyDescent="0.3">
      <c r="A51" s="130"/>
      <c r="B51" s="5" t="s">
        <v>71</v>
      </c>
      <c r="C51" s="37" t="s">
        <v>287</v>
      </c>
      <c r="D51" s="75" t="s">
        <v>283</v>
      </c>
      <c r="E51" s="102">
        <v>0.68</v>
      </c>
      <c r="F51" s="102">
        <v>0.65</v>
      </c>
      <c r="G51" s="99">
        <v>0.8</v>
      </c>
      <c r="H51" s="99">
        <v>0.86</v>
      </c>
      <c r="I51" s="98">
        <v>0.53</v>
      </c>
      <c r="J51" s="98">
        <v>0.82</v>
      </c>
      <c r="K51" s="120">
        <v>0.78</v>
      </c>
      <c r="L51" s="120">
        <v>0.6</v>
      </c>
      <c r="M51" s="213">
        <v>0.6</v>
      </c>
      <c r="N51" s="213">
        <v>0.62</v>
      </c>
      <c r="O51" s="227">
        <v>0.6</v>
      </c>
    </row>
    <row r="52" spans="1:15" s="6" customFormat="1" ht="30.75" hidden="1" customHeight="1" x14ac:dyDescent="0.3">
      <c r="A52" s="130"/>
      <c r="B52" s="13" t="s">
        <v>21</v>
      </c>
      <c r="C52" s="230" t="s">
        <v>226</v>
      </c>
      <c r="D52" s="145"/>
      <c r="E52" s="146"/>
      <c r="F52" s="146"/>
      <c r="G52" s="147"/>
      <c r="H52" s="147"/>
      <c r="I52" s="147"/>
      <c r="J52" s="147"/>
      <c r="K52" s="148"/>
      <c r="L52" s="148"/>
      <c r="M52" s="144"/>
      <c r="N52" s="131"/>
      <c r="O52" s="131"/>
    </row>
    <row r="53" spans="1:15" s="6" customFormat="1" ht="30.75" customHeight="1" x14ac:dyDescent="0.3">
      <c r="A53" s="817" t="s">
        <v>185</v>
      </c>
      <c r="B53" s="12" t="s">
        <v>181</v>
      </c>
      <c r="C53" s="34" t="s">
        <v>284</v>
      </c>
      <c r="D53" s="149"/>
      <c r="E53" s="150"/>
      <c r="F53" s="150"/>
      <c r="G53" s="151"/>
      <c r="H53" s="151"/>
      <c r="I53" s="100">
        <v>1</v>
      </c>
      <c r="J53" s="100">
        <v>1</v>
      </c>
      <c r="K53" s="119">
        <v>1</v>
      </c>
      <c r="L53" s="119">
        <v>0.99</v>
      </c>
      <c r="M53" s="121">
        <v>0.99</v>
      </c>
      <c r="N53" s="121">
        <v>0.99</v>
      </c>
      <c r="O53" s="227">
        <v>1</v>
      </c>
    </row>
    <row r="54" spans="1:15" s="6" customFormat="1" ht="30.75" customHeight="1" x14ac:dyDescent="0.3">
      <c r="A54" s="818"/>
      <c r="B54" s="7" t="s">
        <v>182</v>
      </c>
      <c r="C54" s="34" t="s">
        <v>285</v>
      </c>
      <c r="D54" s="77"/>
      <c r="E54" s="122"/>
      <c r="F54" s="122"/>
      <c r="G54" s="123"/>
      <c r="H54" s="123"/>
      <c r="I54" s="98">
        <v>1</v>
      </c>
      <c r="J54" s="98">
        <v>1</v>
      </c>
      <c r="K54" s="118">
        <v>1</v>
      </c>
      <c r="L54" s="118">
        <v>1</v>
      </c>
      <c r="M54" s="121">
        <v>1</v>
      </c>
      <c r="N54" s="121">
        <v>1</v>
      </c>
      <c r="O54" s="227">
        <v>0.98</v>
      </c>
    </row>
    <row r="55" spans="1:15" s="6" customFormat="1" ht="30.75" customHeight="1" x14ac:dyDescent="0.3">
      <c r="A55" s="818"/>
      <c r="B55" s="7" t="s">
        <v>183</v>
      </c>
      <c r="C55" s="34" t="s">
        <v>285</v>
      </c>
      <c r="D55" s="77"/>
      <c r="E55" s="122"/>
      <c r="F55" s="122"/>
      <c r="G55" s="123"/>
      <c r="H55" s="123"/>
      <c r="I55" s="98">
        <v>0.75</v>
      </c>
      <c r="J55" s="98">
        <v>0.75</v>
      </c>
      <c r="K55" s="118">
        <v>0.75</v>
      </c>
      <c r="L55" s="118">
        <v>0.88</v>
      </c>
      <c r="M55" s="121">
        <v>0.88</v>
      </c>
      <c r="N55" s="121">
        <v>1</v>
      </c>
      <c r="O55" s="227">
        <v>1</v>
      </c>
    </row>
    <row r="56" spans="1:15" s="6" customFormat="1" ht="30.75" customHeight="1" x14ac:dyDescent="0.3">
      <c r="A56" s="818"/>
      <c r="B56" s="7" t="s">
        <v>184</v>
      </c>
      <c r="C56" s="34" t="s">
        <v>286</v>
      </c>
      <c r="D56" s="77"/>
      <c r="E56" s="122"/>
      <c r="F56" s="122"/>
      <c r="G56" s="123"/>
      <c r="H56" s="123"/>
      <c r="I56" s="98">
        <v>1</v>
      </c>
      <c r="J56" s="98">
        <v>1</v>
      </c>
      <c r="K56" s="98">
        <v>1</v>
      </c>
      <c r="L56" s="98">
        <v>1</v>
      </c>
      <c r="M56" s="121">
        <v>1</v>
      </c>
      <c r="N56" s="121">
        <v>1</v>
      </c>
      <c r="O56" s="227">
        <v>1</v>
      </c>
    </row>
    <row r="57" spans="1:15" s="6" customFormat="1" ht="30.75" customHeight="1" x14ac:dyDescent="0.3">
      <c r="A57" s="818"/>
      <c r="B57" s="7" t="s">
        <v>180</v>
      </c>
      <c r="C57" s="34" t="s">
        <v>286</v>
      </c>
      <c r="D57" s="77"/>
      <c r="E57" s="122"/>
      <c r="F57" s="122"/>
      <c r="G57" s="123"/>
      <c r="H57" s="123"/>
      <c r="I57" s="98">
        <v>1</v>
      </c>
      <c r="J57" s="98">
        <v>1</v>
      </c>
      <c r="K57" s="98">
        <v>1</v>
      </c>
      <c r="L57" s="98">
        <v>1</v>
      </c>
      <c r="M57" s="121">
        <v>1</v>
      </c>
      <c r="N57" s="121">
        <v>1</v>
      </c>
      <c r="O57" s="227">
        <v>1</v>
      </c>
    </row>
    <row r="58" spans="1:15" s="6" customFormat="1" ht="30.75" customHeight="1" x14ac:dyDescent="0.3">
      <c r="A58" s="818"/>
      <c r="B58" s="54" t="s">
        <v>151</v>
      </c>
      <c r="C58" s="35" t="s">
        <v>284</v>
      </c>
      <c r="D58" s="77"/>
      <c r="E58" s="122"/>
      <c r="F58" s="122"/>
      <c r="G58" s="123"/>
      <c r="H58" s="123"/>
      <c r="I58" s="98">
        <v>1</v>
      </c>
      <c r="J58" s="98">
        <v>1</v>
      </c>
      <c r="K58" s="98">
        <v>1</v>
      </c>
      <c r="L58" s="98">
        <v>1</v>
      </c>
      <c r="M58" s="121">
        <v>0.92</v>
      </c>
      <c r="N58" s="121">
        <v>1</v>
      </c>
      <c r="O58" s="227">
        <v>1</v>
      </c>
    </row>
    <row r="59" spans="1:15" s="6" customFormat="1" ht="30.75" customHeight="1" x14ac:dyDescent="0.3">
      <c r="A59" s="818"/>
      <c r="B59" s="5" t="s">
        <v>71</v>
      </c>
      <c r="C59" s="37" t="s">
        <v>287</v>
      </c>
      <c r="D59" s="142"/>
      <c r="E59" s="122"/>
      <c r="F59" s="122"/>
      <c r="G59" s="123"/>
      <c r="H59" s="123"/>
      <c r="I59" s="142"/>
      <c r="J59" s="122"/>
      <c r="K59" s="122"/>
      <c r="L59" s="123"/>
      <c r="M59" s="123"/>
      <c r="N59" s="142"/>
      <c r="O59" s="122"/>
    </row>
    <row r="60" spans="1:15" s="6" customFormat="1" ht="31.5" hidden="1" customHeight="1" x14ac:dyDescent="0.3">
      <c r="A60" s="819"/>
      <c r="B60" s="8" t="s">
        <v>21</v>
      </c>
      <c r="C60" s="161" t="s">
        <v>226</v>
      </c>
      <c r="D60" s="152"/>
      <c r="E60" s="153"/>
      <c r="F60" s="153"/>
      <c r="G60" s="154"/>
      <c r="H60" s="154"/>
      <c r="I60" s="152"/>
      <c r="J60" s="153"/>
      <c r="K60" s="153"/>
      <c r="L60" s="154"/>
      <c r="M60" s="154"/>
      <c r="N60" s="152"/>
      <c r="O60" s="153"/>
    </row>
    <row r="61" spans="1:15" s="6" customFormat="1" ht="28.8" x14ac:dyDescent="0.3">
      <c r="A61" s="817" t="s">
        <v>51</v>
      </c>
      <c r="B61" s="12" t="s">
        <v>260</v>
      </c>
      <c r="C61" s="76" t="s">
        <v>261</v>
      </c>
      <c r="D61" s="76"/>
      <c r="E61" s="76"/>
      <c r="F61" s="76"/>
      <c r="G61" s="76"/>
      <c r="H61" s="76"/>
      <c r="I61" s="76"/>
      <c r="J61" s="76"/>
      <c r="K61" s="76"/>
      <c r="L61" s="76"/>
      <c r="M61" s="119">
        <v>0.9</v>
      </c>
      <c r="N61" s="119">
        <v>0.98</v>
      </c>
      <c r="O61" s="199">
        <v>0.9</v>
      </c>
    </row>
    <row r="62" spans="1:15" s="6" customFormat="1" ht="31.5" customHeight="1" x14ac:dyDescent="0.3">
      <c r="A62" s="818"/>
      <c r="B62" s="5" t="s">
        <v>262</v>
      </c>
      <c r="C62" s="77" t="s">
        <v>263</v>
      </c>
      <c r="D62" s="28">
        <v>0</v>
      </c>
      <c r="E62" s="28">
        <v>0</v>
      </c>
      <c r="F62" s="28">
        <v>0</v>
      </c>
      <c r="G62" s="77"/>
      <c r="H62" s="77"/>
      <c r="I62" s="77"/>
      <c r="J62" s="77"/>
      <c r="K62" s="77"/>
      <c r="L62" s="182">
        <v>0</v>
      </c>
      <c r="M62" s="182">
        <v>0</v>
      </c>
      <c r="N62" s="182">
        <v>0</v>
      </c>
      <c r="O62" s="162">
        <v>0</v>
      </c>
    </row>
    <row r="63" spans="1:15" s="6" customFormat="1" ht="31.5" customHeight="1" x14ac:dyDescent="0.3">
      <c r="A63" s="818"/>
      <c r="B63" s="5" t="s">
        <v>264</v>
      </c>
      <c r="C63" s="77" t="s">
        <v>90</v>
      </c>
      <c r="D63" s="118">
        <v>0.95</v>
      </c>
      <c r="E63" s="118">
        <v>0.9</v>
      </c>
      <c r="F63" s="118">
        <v>0.95</v>
      </c>
      <c r="G63" s="77"/>
      <c r="H63" s="77"/>
      <c r="I63" s="77"/>
      <c r="J63" s="77"/>
      <c r="K63" s="77"/>
      <c r="L63" s="77"/>
      <c r="M63" s="118">
        <v>0.98</v>
      </c>
      <c r="N63" s="118">
        <v>0.9</v>
      </c>
      <c r="O63" s="200">
        <v>0.9</v>
      </c>
    </row>
    <row r="64" spans="1:15" s="6" customFormat="1" ht="31.5" customHeight="1" x14ac:dyDescent="0.3">
      <c r="A64" s="819"/>
      <c r="B64" s="204" t="s">
        <v>265</v>
      </c>
      <c r="C64" s="77" t="s">
        <v>96</v>
      </c>
      <c r="D64" s="202">
        <v>1</v>
      </c>
      <c r="E64" s="202">
        <v>1</v>
      </c>
      <c r="F64" s="202">
        <v>1</v>
      </c>
      <c r="G64" s="87"/>
      <c r="H64" s="87"/>
      <c r="I64" s="87"/>
      <c r="J64" s="87"/>
      <c r="K64" s="87"/>
      <c r="L64" s="87"/>
      <c r="M64" s="202">
        <v>1</v>
      </c>
      <c r="N64" s="202">
        <v>1</v>
      </c>
      <c r="O64" s="203">
        <v>1</v>
      </c>
    </row>
    <row r="65" spans="1:16" s="6" customFormat="1" ht="42.75" customHeight="1" x14ac:dyDescent="0.3">
      <c r="A65" s="872" t="s">
        <v>253</v>
      </c>
      <c r="B65" s="7" t="s">
        <v>199</v>
      </c>
      <c r="C65" s="113" t="s">
        <v>158</v>
      </c>
      <c r="D65" s="76"/>
      <c r="E65" s="76"/>
      <c r="F65" s="76"/>
      <c r="G65" s="76"/>
      <c r="H65" s="76"/>
      <c r="I65" s="76"/>
      <c r="J65" s="76"/>
      <c r="K65" s="76"/>
      <c r="L65" s="76"/>
      <c r="M65" s="76"/>
      <c r="N65" s="76"/>
      <c r="O65" s="76"/>
    </row>
    <row r="66" spans="1:16" s="6" customFormat="1" ht="30.75" customHeight="1" x14ac:dyDescent="0.3">
      <c r="A66" s="872"/>
      <c r="B66" s="5" t="s">
        <v>198</v>
      </c>
      <c r="C66" s="188" t="s">
        <v>227</v>
      </c>
      <c r="D66" s="866">
        <v>0</v>
      </c>
      <c r="E66" s="867"/>
      <c r="F66" s="867"/>
      <c r="G66" s="866">
        <v>0</v>
      </c>
      <c r="H66" s="867"/>
      <c r="I66" s="867"/>
      <c r="J66" s="866">
        <v>2.9999999999999997E-4</v>
      </c>
      <c r="K66" s="867"/>
      <c r="L66" s="867"/>
      <c r="M66" s="866">
        <v>0</v>
      </c>
      <c r="N66" s="867"/>
      <c r="O66" s="867"/>
    </row>
    <row r="67" spans="1:16" s="6" customFormat="1" ht="72" x14ac:dyDescent="0.3">
      <c r="A67" s="872"/>
      <c r="B67" s="13" t="s">
        <v>200</v>
      </c>
      <c r="C67" s="212" t="s">
        <v>158</v>
      </c>
      <c r="D67" s="868"/>
      <c r="E67" s="868"/>
      <c r="F67" s="868"/>
      <c r="G67" s="868"/>
      <c r="H67" s="868"/>
      <c r="I67" s="868"/>
      <c r="J67" s="868"/>
      <c r="K67" s="868"/>
      <c r="L67" s="868"/>
      <c r="M67" s="868"/>
      <c r="N67" s="868"/>
      <c r="O67" s="868"/>
    </row>
    <row r="68" spans="1:16" s="6" customFormat="1" ht="69" x14ac:dyDescent="0.3">
      <c r="A68" s="871" t="s">
        <v>31</v>
      </c>
      <c r="B68" s="12" t="s">
        <v>32</v>
      </c>
      <c r="C68" s="36" t="s">
        <v>126</v>
      </c>
      <c r="D68" s="794" t="s">
        <v>240</v>
      </c>
      <c r="E68" s="794"/>
      <c r="F68" s="794"/>
      <c r="G68" s="794"/>
      <c r="H68" s="794"/>
      <c r="I68" s="800"/>
      <c r="J68" s="794" t="s">
        <v>241</v>
      </c>
      <c r="K68" s="794"/>
      <c r="L68" s="794"/>
      <c r="M68" s="794"/>
      <c r="N68" s="794"/>
      <c r="O68" s="795"/>
      <c r="P68" s="126" t="s">
        <v>206</v>
      </c>
    </row>
    <row r="69" spans="1:16" s="6" customFormat="1" ht="55.8" x14ac:dyDescent="0.3">
      <c r="A69" s="872"/>
      <c r="B69" s="5" t="s">
        <v>85</v>
      </c>
      <c r="C69" s="34" t="s">
        <v>127</v>
      </c>
      <c r="D69" s="813" t="s">
        <v>242</v>
      </c>
      <c r="E69" s="811"/>
      <c r="F69" s="811"/>
      <c r="G69" s="811"/>
      <c r="H69" s="811"/>
      <c r="I69" s="811"/>
      <c r="J69" s="811"/>
      <c r="K69" s="811"/>
      <c r="L69" s="811"/>
      <c r="M69" s="811"/>
      <c r="N69" s="811"/>
      <c r="O69" s="814"/>
      <c r="P69" s="127" t="s">
        <v>207</v>
      </c>
    </row>
    <row r="70" spans="1:16" s="6" customFormat="1" ht="30.75" customHeight="1" x14ac:dyDescent="0.3">
      <c r="A70" s="872"/>
      <c r="B70" s="5" t="s">
        <v>69</v>
      </c>
      <c r="C70" s="34" t="s">
        <v>96</v>
      </c>
      <c r="D70" s="855">
        <v>0</v>
      </c>
      <c r="E70" s="811"/>
      <c r="F70" s="811"/>
      <c r="G70" s="811"/>
      <c r="H70" s="811"/>
      <c r="I70" s="811"/>
      <c r="J70" s="811"/>
      <c r="K70" s="811"/>
      <c r="L70" s="811"/>
      <c r="M70" s="811"/>
      <c r="N70" s="811"/>
      <c r="O70" s="814"/>
    </row>
    <row r="71" spans="1:16" s="6" customFormat="1" ht="30.75" customHeight="1" x14ac:dyDescent="0.3">
      <c r="A71" s="872"/>
      <c r="B71" s="5" t="s">
        <v>33</v>
      </c>
      <c r="C71" s="34" t="s">
        <v>128</v>
      </c>
      <c r="D71" s="824">
        <v>0</v>
      </c>
      <c r="E71" s="811"/>
      <c r="F71" s="811"/>
      <c r="G71" s="811"/>
      <c r="H71" s="811"/>
      <c r="I71" s="811"/>
      <c r="J71" s="811"/>
      <c r="K71" s="811"/>
      <c r="L71" s="811"/>
      <c r="M71" s="811"/>
      <c r="N71" s="811"/>
      <c r="O71" s="814"/>
    </row>
    <row r="72" spans="1:16" s="6" customFormat="1" ht="30.75" customHeight="1" x14ac:dyDescent="0.3">
      <c r="A72" s="889"/>
      <c r="B72" s="8" t="s">
        <v>252</v>
      </c>
      <c r="C72" s="37" t="s">
        <v>96</v>
      </c>
      <c r="D72" s="967">
        <v>1</v>
      </c>
      <c r="E72" s="836"/>
      <c r="F72" s="836"/>
      <c r="G72" s="836"/>
      <c r="H72" s="836"/>
      <c r="I72" s="836"/>
      <c r="J72" s="968">
        <v>1</v>
      </c>
      <c r="K72" s="836"/>
      <c r="L72" s="836"/>
      <c r="M72" s="836"/>
      <c r="N72" s="836"/>
      <c r="O72" s="836"/>
    </row>
    <row r="73" spans="1:16" s="6" customFormat="1" ht="31.5" customHeight="1" x14ac:dyDescent="0.3">
      <c r="A73" s="871" t="s">
        <v>17</v>
      </c>
      <c r="B73" s="12" t="s">
        <v>18</v>
      </c>
      <c r="C73" s="243" t="s">
        <v>228</v>
      </c>
      <c r="D73" s="937">
        <v>0</v>
      </c>
      <c r="E73" s="937"/>
      <c r="F73" s="938"/>
      <c r="G73" s="936">
        <v>0</v>
      </c>
      <c r="H73" s="937"/>
      <c r="I73" s="938"/>
      <c r="J73" s="936">
        <v>0</v>
      </c>
      <c r="K73" s="937"/>
      <c r="L73" s="938"/>
      <c r="M73" s="936">
        <v>0</v>
      </c>
      <c r="N73" s="937"/>
      <c r="O73" s="938"/>
    </row>
    <row r="74" spans="1:16" s="6" customFormat="1" ht="31.5" customHeight="1" x14ac:dyDescent="0.3">
      <c r="A74" s="872"/>
      <c r="B74" s="124" t="s">
        <v>304</v>
      </c>
      <c r="C74" s="162" t="s">
        <v>229</v>
      </c>
      <c r="D74" s="933">
        <v>0</v>
      </c>
      <c r="E74" s="921"/>
      <c r="F74" s="921"/>
      <c r="G74" s="921"/>
      <c r="H74" s="921"/>
      <c r="I74" s="922"/>
      <c r="J74" s="933">
        <v>0</v>
      </c>
      <c r="K74" s="921"/>
      <c r="L74" s="921"/>
      <c r="M74" s="921"/>
      <c r="N74" s="921"/>
      <c r="O74" s="922"/>
    </row>
    <row r="75" spans="1:16" s="6" customFormat="1" ht="31.5" customHeight="1" x14ac:dyDescent="0.3">
      <c r="A75" s="872"/>
      <c r="B75" s="5" t="s">
        <v>305</v>
      </c>
      <c r="C75" s="244" t="s">
        <v>120</v>
      </c>
      <c r="D75" s="921"/>
      <c r="E75" s="921"/>
      <c r="F75" s="922"/>
      <c r="G75" s="923">
        <v>92</v>
      </c>
      <c r="H75" s="921"/>
      <c r="I75" s="922"/>
      <c r="J75" s="927">
        <v>22</v>
      </c>
      <c r="K75" s="928"/>
      <c r="L75" s="929"/>
      <c r="M75" s="927">
        <f>21+4</f>
        <v>25</v>
      </c>
      <c r="N75" s="928"/>
      <c r="O75" s="929"/>
    </row>
    <row r="76" spans="1:16" s="6" customFormat="1" ht="31.5" customHeight="1" x14ac:dyDescent="0.3">
      <c r="A76" s="872"/>
      <c r="B76" s="5" t="s">
        <v>98</v>
      </c>
      <c r="C76" s="162" t="s">
        <v>121</v>
      </c>
      <c r="D76" s="930">
        <v>0</v>
      </c>
      <c r="E76" s="931"/>
      <c r="F76" s="931"/>
      <c r="G76" s="931"/>
      <c r="H76" s="931"/>
      <c r="I76" s="932"/>
      <c r="J76" s="923">
        <f>60+60+48</f>
        <v>168</v>
      </c>
      <c r="K76" s="921"/>
      <c r="L76" s="921"/>
      <c r="M76" s="921"/>
      <c r="N76" s="921"/>
      <c r="O76" s="922"/>
    </row>
    <row r="77" spans="1:16" s="6" customFormat="1" ht="31.5" customHeight="1" x14ac:dyDescent="0.3">
      <c r="A77" s="889"/>
      <c r="B77" s="8" t="s">
        <v>187</v>
      </c>
      <c r="C77" s="245" t="s">
        <v>306</v>
      </c>
      <c r="D77" s="246"/>
      <c r="E77" s="247"/>
      <c r="F77" s="248"/>
      <c r="G77" s="247"/>
      <c r="H77" s="247"/>
      <c r="I77" s="249">
        <v>0.36530000000000001</v>
      </c>
      <c r="J77" s="249">
        <v>0.44440000000000002</v>
      </c>
      <c r="K77" s="250">
        <v>0.51659999999999995</v>
      </c>
      <c r="L77" s="251">
        <v>0.64700000000000002</v>
      </c>
      <c r="M77" s="252">
        <v>0.67</v>
      </c>
      <c r="N77" s="252">
        <v>0.7</v>
      </c>
      <c r="O77" s="252">
        <v>0.76</v>
      </c>
    </row>
    <row r="78" spans="1:16" s="6" customFormat="1" ht="30.75" customHeight="1" x14ac:dyDescent="0.3">
      <c r="A78" s="871" t="s">
        <v>1</v>
      </c>
      <c r="B78" s="12" t="s">
        <v>81</v>
      </c>
      <c r="C78" s="170" t="s">
        <v>130</v>
      </c>
      <c r="D78" s="844">
        <v>0</v>
      </c>
      <c r="E78" s="844"/>
      <c r="F78" s="844"/>
      <c r="G78" s="844">
        <v>0.7</v>
      </c>
      <c r="H78" s="844"/>
      <c r="I78" s="844"/>
      <c r="J78" s="934">
        <v>0</v>
      </c>
      <c r="K78" s="934"/>
      <c r="L78" s="934"/>
      <c r="M78" s="934">
        <v>0</v>
      </c>
      <c r="N78" s="934"/>
      <c r="O78" s="935"/>
    </row>
    <row r="79" spans="1:16" s="6" customFormat="1" ht="30.75" customHeight="1" x14ac:dyDescent="0.3">
      <c r="A79" s="872"/>
      <c r="B79" s="5" t="s">
        <v>193</v>
      </c>
      <c r="C79" s="93" t="s">
        <v>131</v>
      </c>
      <c r="D79" s="118">
        <v>0.9</v>
      </c>
      <c r="E79" s="118">
        <v>0.9</v>
      </c>
      <c r="F79" s="118">
        <v>0.8</v>
      </c>
      <c r="G79" s="118">
        <v>0.8</v>
      </c>
      <c r="H79" s="118">
        <v>0.8</v>
      </c>
      <c r="I79" s="173">
        <v>0.67</v>
      </c>
      <c r="J79" s="173">
        <v>0.6</v>
      </c>
      <c r="K79" s="174">
        <v>1</v>
      </c>
      <c r="L79" s="174">
        <v>0.75</v>
      </c>
      <c r="M79" s="175">
        <v>0.375</v>
      </c>
      <c r="N79" s="173">
        <v>0.6</v>
      </c>
      <c r="O79" s="176">
        <v>1</v>
      </c>
    </row>
    <row r="80" spans="1:16" s="6" customFormat="1" ht="30.75" customHeight="1" x14ac:dyDescent="0.3">
      <c r="A80" s="872"/>
      <c r="B80" s="5" t="s">
        <v>109</v>
      </c>
      <c r="C80" s="171" t="s">
        <v>132</v>
      </c>
      <c r="D80" s="924">
        <v>3</v>
      </c>
      <c r="E80" s="924"/>
      <c r="F80" s="924"/>
      <c r="G80" s="924"/>
      <c r="H80" s="924"/>
      <c r="I80" s="924"/>
      <c r="J80" s="925">
        <v>8</v>
      </c>
      <c r="K80" s="925"/>
      <c r="L80" s="925"/>
      <c r="M80" s="925"/>
      <c r="N80" s="925"/>
      <c r="O80" s="926"/>
    </row>
    <row r="81" spans="1:16" s="6" customFormat="1" ht="30.75" customHeight="1" x14ac:dyDescent="0.3">
      <c r="A81" s="889"/>
      <c r="B81" s="8" t="s">
        <v>110</v>
      </c>
      <c r="C81" s="172" t="s">
        <v>133</v>
      </c>
      <c r="D81" s="836">
        <v>0</v>
      </c>
      <c r="E81" s="836"/>
      <c r="F81" s="836"/>
      <c r="G81" s="836"/>
      <c r="H81" s="836"/>
      <c r="I81" s="836"/>
      <c r="J81" s="836">
        <v>0</v>
      </c>
      <c r="K81" s="836"/>
      <c r="L81" s="836"/>
      <c r="M81" s="836"/>
      <c r="N81" s="836"/>
      <c r="O81" s="850"/>
    </row>
    <row r="82" spans="1:16" s="6" customFormat="1" ht="112.5" customHeight="1" x14ac:dyDescent="0.3">
      <c r="A82" s="952" t="s">
        <v>56</v>
      </c>
      <c r="B82" s="12" t="s">
        <v>53</v>
      </c>
      <c r="C82" s="88" t="s">
        <v>159</v>
      </c>
      <c r="D82" s="133"/>
      <c r="E82" s="134"/>
      <c r="F82" s="135"/>
      <c r="G82" s="140" t="s">
        <v>220</v>
      </c>
      <c r="H82" s="140" t="s">
        <v>208</v>
      </c>
      <c r="I82" s="140" t="s">
        <v>209</v>
      </c>
      <c r="J82" s="140" t="s">
        <v>210</v>
      </c>
      <c r="K82" s="140" t="s">
        <v>221</v>
      </c>
      <c r="L82" s="140" t="s">
        <v>222</v>
      </c>
      <c r="M82" s="140" t="s">
        <v>223</v>
      </c>
      <c r="N82" s="17"/>
      <c r="O82" s="18"/>
      <c r="P82" s="862"/>
    </row>
    <row r="83" spans="1:16" s="6" customFormat="1" ht="114" customHeight="1" x14ac:dyDescent="0.3">
      <c r="A83" s="953"/>
      <c r="B83" s="5" t="s">
        <v>54</v>
      </c>
      <c r="C83" s="89" t="s">
        <v>164</v>
      </c>
      <c r="D83" s="136"/>
      <c r="E83" s="137"/>
      <c r="F83" s="137"/>
      <c r="G83" s="141" t="s">
        <v>211</v>
      </c>
      <c r="H83" s="141" t="s">
        <v>212</v>
      </c>
      <c r="I83" s="141" t="s">
        <v>213</v>
      </c>
      <c r="J83" s="141" t="s">
        <v>214</v>
      </c>
      <c r="K83" s="141" t="s">
        <v>215</v>
      </c>
      <c r="L83" s="141" t="s">
        <v>216</v>
      </c>
      <c r="M83" s="141" t="s">
        <v>217</v>
      </c>
      <c r="N83" s="21"/>
      <c r="O83" s="22"/>
      <c r="P83" s="862"/>
    </row>
    <row r="84" spans="1:16" s="6" customFormat="1" ht="27.75" customHeight="1" x14ac:dyDescent="0.3">
      <c r="A84" s="954"/>
      <c r="B84" s="5" t="s">
        <v>202</v>
      </c>
      <c r="C84" s="91">
        <v>0.99990000000000001</v>
      </c>
      <c r="D84" s="136"/>
      <c r="E84" s="128">
        <v>0.99970000000000003</v>
      </c>
      <c r="F84" s="128">
        <v>0.99813333333333321</v>
      </c>
      <c r="G84" s="128">
        <v>0.99953333333333338</v>
      </c>
      <c r="H84" s="128">
        <v>0.99960000000000004</v>
      </c>
      <c r="I84" s="128">
        <v>1</v>
      </c>
      <c r="J84" s="128">
        <v>0.99986666666666668</v>
      </c>
      <c r="K84" s="128">
        <v>0.99803333333333333</v>
      </c>
      <c r="L84" s="128">
        <v>0.99983333333333324</v>
      </c>
      <c r="M84" s="132">
        <v>0.90890000000000004</v>
      </c>
      <c r="N84" s="128">
        <v>1</v>
      </c>
      <c r="O84" s="128">
        <v>1</v>
      </c>
      <c r="P84" s="90"/>
    </row>
    <row r="85" spans="1:16" s="6" customFormat="1" ht="27.75" customHeight="1" x14ac:dyDescent="0.3">
      <c r="A85" s="954"/>
      <c r="B85" s="5" t="s">
        <v>173</v>
      </c>
      <c r="C85" s="91">
        <v>0.99990000000000001</v>
      </c>
      <c r="D85" s="136"/>
      <c r="E85" s="128">
        <v>1</v>
      </c>
      <c r="F85" s="128">
        <v>1</v>
      </c>
      <c r="G85" s="128">
        <v>1</v>
      </c>
      <c r="H85" s="128">
        <v>1</v>
      </c>
      <c r="I85" s="128">
        <v>1</v>
      </c>
      <c r="J85" s="128">
        <v>0.99970000000000003</v>
      </c>
      <c r="K85" s="128">
        <v>1</v>
      </c>
      <c r="L85" s="128">
        <v>1</v>
      </c>
      <c r="M85" s="128">
        <v>1</v>
      </c>
      <c r="N85" s="128">
        <v>1</v>
      </c>
      <c r="O85" s="128">
        <v>1</v>
      </c>
      <c r="P85" s="90"/>
    </row>
    <row r="86" spans="1:16" s="6" customFormat="1" ht="27.75" customHeight="1" x14ac:dyDescent="0.3">
      <c r="A86" s="954"/>
      <c r="B86" s="5" t="s">
        <v>203</v>
      </c>
      <c r="C86" s="91">
        <v>0.99990000000000001</v>
      </c>
      <c r="D86" s="136"/>
      <c r="E86" s="128">
        <v>0.99680000000000002</v>
      </c>
      <c r="F86" s="128">
        <v>0.99980000000000002</v>
      </c>
      <c r="G86" s="128">
        <v>1</v>
      </c>
      <c r="H86" s="128">
        <v>1</v>
      </c>
      <c r="I86" s="128">
        <v>1</v>
      </c>
      <c r="J86" s="128">
        <v>1</v>
      </c>
      <c r="K86" s="128">
        <v>0.99995000000000001</v>
      </c>
      <c r="L86" s="128">
        <v>0.99995000000000001</v>
      </c>
      <c r="M86" s="128">
        <v>0.99990000000000001</v>
      </c>
      <c r="N86" s="128">
        <v>1</v>
      </c>
      <c r="O86" s="128">
        <v>1</v>
      </c>
      <c r="P86" s="90"/>
    </row>
    <row r="87" spans="1:16" s="6" customFormat="1" ht="27.75" customHeight="1" x14ac:dyDescent="0.3">
      <c r="A87" s="954"/>
      <c r="B87" s="5" t="s">
        <v>219</v>
      </c>
      <c r="C87" s="91">
        <v>0.99990000000000001</v>
      </c>
      <c r="D87" s="138"/>
      <c r="E87" s="128">
        <v>1</v>
      </c>
      <c r="F87" s="128">
        <v>1</v>
      </c>
      <c r="G87" s="128">
        <v>1</v>
      </c>
      <c r="H87" s="128">
        <v>1</v>
      </c>
      <c r="I87" s="128">
        <v>1</v>
      </c>
      <c r="J87" s="128">
        <v>1</v>
      </c>
      <c r="K87" s="128">
        <v>1</v>
      </c>
      <c r="L87" s="128">
        <v>1</v>
      </c>
      <c r="M87" s="128">
        <v>1</v>
      </c>
      <c r="N87" s="128">
        <v>1</v>
      </c>
      <c r="O87" s="128">
        <v>1</v>
      </c>
      <c r="P87" s="90"/>
    </row>
    <row r="88" spans="1:16" s="6" customFormat="1" ht="27.75" customHeight="1" x14ac:dyDescent="0.3">
      <c r="A88" s="954"/>
      <c r="B88" s="5" t="s">
        <v>218</v>
      </c>
      <c r="C88" s="91">
        <v>0.99990000000000001</v>
      </c>
      <c r="D88" s="138"/>
      <c r="E88" s="128">
        <v>0.99819999999999998</v>
      </c>
      <c r="F88" s="128">
        <v>0.99829999999999997</v>
      </c>
      <c r="G88" s="128">
        <v>0.99680000000000002</v>
      </c>
      <c r="H88" s="128">
        <v>1</v>
      </c>
      <c r="I88" s="128">
        <v>0.99990000000000001</v>
      </c>
      <c r="J88" s="128">
        <v>1</v>
      </c>
      <c r="K88" s="128">
        <v>1</v>
      </c>
      <c r="L88" s="132">
        <v>0.97070000000000001</v>
      </c>
      <c r="M88" s="128">
        <v>0.99990000000000001</v>
      </c>
      <c r="N88" s="128">
        <v>1</v>
      </c>
      <c r="O88" s="128">
        <v>1</v>
      </c>
      <c r="P88" s="90"/>
    </row>
    <row r="89" spans="1:16" s="6" customFormat="1" ht="27.75" customHeight="1" x14ac:dyDescent="0.3">
      <c r="A89" s="954"/>
      <c r="B89" s="5" t="s">
        <v>174</v>
      </c>
      <c r="C89" s="91">
        <v>0.99990000000000001</v>
      </c>
      <c r="D89" s="138"/>
      <c r="E89" s="128">
        <v>1</v>
      </c>
      <c r="F89" s="128">
        <v>1</v>
      </c>
      <c r="G89" s="128">
        <v>0.99839999999999995</v>
      </c>
      <c r="H89" s="128">
        <v>1</v>
      </c>
      <c r="I89" s="128">
        <v>1</v>
      </c>
      <c r="J89" s="128">
        <v>1</v>
      </c>
      <c r="K89" s="128">
        <v>1</v>
      </c>
      <c r="L89" s="128">
        <v>0.99990000000000001</v>
      </c>
      <c r="M89" s="128">
        <v>1</v>
      </c>
      <c r="N89" s="128">
        <v>1</v>
      </c>
      <c r="O89" s="128">
        <v>1</v>
      </c>
      <c r="P89" s="90"/>
    </row>
    <row r="90" spans="1:16" s="6" customFormat="1" ht="29.25" customHeight="1" x14ac:dyDescent="0.3">
      <c r="A90" s="954"/>
      <c r="B90" s="8" t="s">
        <v>204</v>
      </c>
      <c r="C90" s="92">
        <v>0.99990000000000001</v>
      </c>
      <c r="D90" s="139"/>
      <c r="E90" s="129">
        <v>1</v>
      </c>
      <c r="F90" s="129">
        <v>1</v>
      </c>
      <c r="G90" s="129">
        <v>0.99770000000000003</v>
      </c>
      <c r="H90" s="129">
        <v>1</v>
      </c>
      <c r="I90" s="129">
        <v>1</v>
      </c>
      <c r="J90" s="129">
        <v>1</v>
      </c>
      <c r="K90" s="129">
        <v>1</v>
      </c>
      <c r="L90" s="129">
        <v>1</v>
      </c>
      <c r="M90" s="129">
        <v>1</v>
      </c>
      <c r="N90" s="128">
        <v>1</v>
      </c>
      <c r="O90" s="128">
        <v>1</v>
      </c>
      <c r="P90" s="90"/>
    </row>
    <row r="91" spans="1:16" s="6" customFormat="1" ht="30.75" customHeight="1" x14ac:dyDescent="0.3">
      <c r="A91" s="871" t="s">
        <v>153</v>
      </c>
      <c r="B91" s="12" t="s">
        <v>230</v>
      </c>
      <c r="C91" s="36" t="s">
        <v>231</v>
      </c>
      <c r="D91" s="955"/>
      <c r="E91" s="956"/>
      <c r="F91" s="956"/>
      <c r="G91" s="956"/>
      <c r="H91" s="956"/>
      <c r="I91" s="956"/>
      <c r="J91" s="956"/>
      <c r="K91" s="956"/>
      <c r="L91" s="956"/>
      <c r="M91" s="956"/>
      <c r="N91" s="956"/>
      <c r="O91" s="957"/>
    </row>
    <row r="92" spans="1:16" s="6" customFormat="1" ht="30.75" customHeight="1" x14ac:dyDescent="0.3">
      <c r="A92" s="872"/>
      <c r="B92" s="7" t="s">
        <v>62</v>
      </c>
      <c r="C92" s="33" t="s">
        <v>66</v>
      </c>
      <c r="D92" s="958">
        <v>1</v>
      </c>
      <c r="E92" s="959"/>
      <c r="F92" s="960"/>
      <c r="G92" s="958">
        <v>1</v>
      </c>
      <c r="H92" s="959"/>
      <c r="I92" s="960"/>
      <c r="J92" s="961">
        <v>0.75</v>
      </c>
      <c r="K92" s="959"/>
      <c r="L92" s="960"/>
      <c r="M92" s="820">
        <v>0.93</v>
      </c>
      <c r="N92" s="811"/>
      <c r="O92" s="812"/>
      <c r="P92" s="164">
        <f>AVERAGE(D92:O92)</f>
        <v>0.92</v>
      </c>
    </row>
    <row r="93" spans="1:16" s="6" customFormat="1" ht="30.75" customHeight="1" x14ac:dyDescent="0.3">
      <c r="A93" s="872"/>
      <c r="B93" s="7" t="s">
        <v>63</v>
      </c>
      <c r="C93" s="33" t="s">
        <v>67</v>
      </c>
      <c r="D93" s="962">
        <v>1</v>
      </c>
      <c r="E93" s="811"/>
      <c r="F93" s="811"/>
      <c r="G93" s="811"/>
      <c r="H93" s="811"/>
      <c r="I93" s="811"/>
      <c r="J93" s="811"/>
      <c r="K93" s="811"/>
      <c r="L93" s="811"/>
      <c r="M93" s="811"/>
      <c r="N93" s="811"/>
      <c r="O93" s="812"/>
    </row>
    <row r="94" spans="1:16" s="6" customFormat="1" ht="30.75" customHeight="1" x14ac:dyDescent="0.3">
      <c r="A94" s="889"/>
      <c r="B94" s="14" t="s">
        <v>64</v>
      </c>
      <c r="C94" s="38" t="s">
        <v>68</v>
      </c>
      <c r="D94" s="912">
        <v>6</v>
      </c>
      <c r="E94" s="912"/>
      <c r="F94" s="913"/>
      <c r="G94" s="911">
        <v>8</v>
      </c>
      <c r="H94" s="912"/>
      <c r="I94" s="913"/>
      <c r="J94" s="911">
        <v>14</v>
      </c>
      <c r="K94" s="912"/>
      <c r="L94" s="913"/>
      <c r="M94" s="816">
        <v>46</v>
      </c>
      <c r="N94" s="802"/>
      <c r="O94" s="803"/>
    </row>
    <row r="95" spans="1:16" s="6" customFormat="1" ht="30.75" customHeight="1" x14ac:dyDescent="0.3">
      <c r="A95" s="871" t="s">
        <v>154</v>
      </c>
      <c r="B95" s="12" t="s">
        <v>155</v>
      </c>
      <c r="C95" s="76" t="s">
        <v>250</v>
      </c>
      <c r="D95" s="844">
        <v>1</v>
      </c>
      <c r="E95" s="844"/>
      <c r="F95" s="844"/>
      <c r="G95" s="844"/>
      <c r="H95" s="844"/>
      <c r="I95" s="844"/>
      <c r="J95" s="844"/>
      <c r="K95" s="844"/>
      <c r="L95" s="844"/>
      <c r="M95" s="844"/>
      <c r="N95" s="844"/>
      <c r="O95" s="844"/>
    </row>
    <row r="96" spans="1:16" s="6" customFormat="1" ht="43.2" x14ac:dyDescent="0.3">
      <c r="A96" s="872"/>
      <c r="B96" s="5" t="s">
        <v>156</v>
      </c>
      <c r="C96" s="77" t="s">
        <v>119</v>
      </c>
      <c r="D96" s="949">
        <v>0</v>
      </c>
      <c r="E96" s="950"/>
      <c r="F96" s="951"/>
      <c r="G96" s="949">
        <v>0</v>
      </c>
      <c r="H96" s="950"/>
      <c r="I96" s="951"/>
      <c r="J96" s="949">
        <v>0</v>
      </c>
      <c r="K96" s="950"/>
      <c r="L96" s="951"/>
      <c r="M96" s="949">
        <v>0</v>
      </c>
      <c r="N96" s="950"/>
      <c r="O96" s="951"/>
    </row>
    <row r="97" spans="1:15" s="6" customFormat="1" ht="43.2" x14ac:dyDescent="0.3">
      <c r="A97" s="889"/>
      <c r="B97" s="8" t="s">
        <v>157</v>
      </c>
      <c r="C97" s="87" t="s">
        <v>131</v>
      </c>
      <c r="D97" s="917">
        <v>0.82199999999999995</v>
      </c>
      <c r="E97" s="802"/>
      <c r="F97" s="802"/>
      <c r="G97" s="802"/>
      <c r="H97" s="802"/>
      <c r="I97" s="802"/>
      <c r="J97" s="802"/>
      <c r="K97" s="802"/>
      <c r="L97" s="802"/>
      <c r="M97" s="802"/>
      <c r="N97" s="802"/>
      <c r="O97" s="803"/>
    </row>
    <row r="98" spans="1:15" ht="30.75" customHeight="1" x14ac:dyDescent="0.3">
      <c r="A98" s="196" t="s">
        <v>134</v>
      </c>
      <c r="B98" s="197" t="s">
        <v>259</v>
      </c>
      <c r="C98" s="198" t="s">
        <v>131</v>
      </c>
      <c r="D98" s="963">
        <v>0.76639999999999997</v>
      </c>
      <c r="E98" s="964"/>
      <c r="F98" s="964"/>
      <c r="G98" s="964"/>
      <c r="H98" s="964"/>
      <c r="I98" s="964"/>
      <c r="J98" s="964"/>
      <c r="K98" s="964"/>
      <c r="L98" s="964"/>
      <c r="M98" s="964"/>
      <c r="N98" s="964"/>
      <c r="O98" s="965"/>
    </row>
    <row r="99" spans="1:15" ht="30.75" customHeight="1" x14ac:dyDescent="0.3"/>
    <row r="100" spans="1:15" ht="30.75" customHeight="1" x14ac:dyDescent="0.3"/>
    <row r="101" spans="1:15" ht="30.75" customHeight="1" x14ac:dyDescent="0.3"/>
    <row r="102" spans="1:15" ht="30.75" customHeight="1" x14ac:dyDescent="0.3"/>
    <row r="103" spans="1:15" ht="30.75" customHeight="1" x14ac:dyDescent="0.3"/>
    <row r="104" spans="1:15" ht="30.75" customHeight="1" x14ac:dyDescent="0.3"/>
    <row r="105" spans="1:15" ht="30.75" customHeight="1" x14ac:dyDescent="0.3"/>
    <row r="106" spans="1:15" ht="30.75" customHeight="1" x14ac:dyDescent="0.3"/>
    <row r="107" spans="1:15" ht="30.75" customHeight="1" x14ac:dyDescent="0.3"/>
    <row r="108" spans="1:15" ht="30.75" customHeight="1" x14ac:dyDescent="0.3"/>
    <row r="109" spans="1:15" ht="30.75" customHeight="1" x14ac:dyDescent="0.3"/>
    <row r="110" spans="1:15" ht="30.75" customHeight="1" x14ac:dyDescent="0.3"/>
    <row r="111" spans="1:15" ht="30.75" customHeight="1" x14ac:dyDescent="0.3"/>
    <row r="112" spans="1:15" ht="30.75" customHeight="1" x14ac:dyDescent="0.3"/>
    <row r="113" ht="30.75" customHeight="1" x14ac:dyDescent="0.3"/>
    <row r="114" ht="30.75" customHeight="1" x14ac:dyDescent="0.3"/>
    <row r="115" ht="30.75" customHeight="1" x14ac:dyDescent="0.3"/>
    <row r="116" ht="30.75" customHeight="1" x14ac:dyDescent="0.3"/>
    <row r="117" ht="30.75" customHeight="1" x14ac:dyDescent="0.3"/>
    <row r="118" ht="30.75" customHeight="1" x14ac:dyDescent="0.3"/>
    <row r="119" ht="30.75" customHeight="1" x14ac:dyDescent="0.3"/>
    <row r="120" ht="30.75" customHeight="1" x14ac:dyDescent="0.3"/>
    <row r="121" ht="30.75" customHeight="1" x14ac:dyDescent="0.3"/>
    <row r="122" ht="30.75" customHeight="1" x14ac:dyDescent="0.3"/>
    <row r="123" ht="30.75" customHeight="1" x14ac:dyDescent="0.3"/>
    <row r="124" ht="30.75" customHeight="1" x14ac:dyDescent="0.3"/>
    <row r="125" ht="30.75" customHeight="1" x14ac:dyDescent="0.3"/>
    <row r="126" ht="30.75" customHeight="1" x14ac:dyDescent="0.3"/>
    <row r="127" ht="30.75" customHeight="1" x14ac:dyDescent="0.3"/>
    <row r="128" ht="30.75" customHeight="1" x14ac:dyDescent="0.3"/>
    <row r="129" ht="30.75" customHeight="1" x14ac:dyDescent="0.3"/>
    <row r="130" ht="30.75" customHeight="1" x14ac:dyDescent="0.3"/>
    <row r="131" ht="30.75" customHeight="1" x14ac:dyDescent="0.3"/>
    <row r="132" ht="30.75" customHeight="1" x14ac:dyDescent="0.3"/>
    <row r="133" ht="30.75" customHeight="1" x14ac:dyDescent="0.3"/>
    <row r="134" ht="30.75" customHeight="1" x14ac:dyDescent="0.3"/>
    <row r="135" ht="30.75" customHeight="1" x14ac:dyDescent="0.3"/>
    <row r="136" ht="30.75" customHeight="1" x14ac:dyDescent="0.3"/>
    <row r="137" ht="30.75" customHeight="1" x14ac:dyDescent="0.3"/>
    <row r="138" ht="30.75" customHeight="1" x14ac:dyDescent="0.3"/>
    <row r="139" ht="30.75" customHeight="1" x14ac:dyDescent="0.3"/>
    <row r="140" ht="30.75" customHeight="1" x14ac:dyDescent="0.3"/>
    <row r="141" ht="30.75" customHeight="1" x14ac:dyDescent="0.3"/>
    <row r="142" ht="30.75" customHeight="1" x14ac:dyDescent="0.3"/>
    <row r="143" ht="30.75" customHeight="1" x14ac:dyDescent="0.3"/>
    <row r="144" ht="30.75" customHeight="1" x14ac:dyDescent="0.3"/>
    <row r="145" ht="30.75" customHeight="1" x14ac:dyDescent="0.3"/>
    <row r="146" ht="30.75" customHeight="1" x14ac:dyDescent="0.3"/>
    <row r="147" ht="30.75" customHeight="1" x14ac:dyDescent="0.3"/>
    <row r="148" ht="30.75" customHeight="1" x14ac:dyDescent="0.3"/>
    <row r="149" ht="30.75" customHeight="1" x14ac:dyDescent="0.3"/>
    <row r="150" ht="30.75" customHeight="1" x14ac:dyDescent="0.3"/>
    <row r="151" ht="30.75" customHeight="1" x14ac:dyDescent="0.3"/>
    <row r="152" ht="30.75" customHeight="1" x14ac:dyDescent="0.3"/>
    <row r="153" ht="30.75" customHeight="1" x14ac:dyDescent="0.3"/>
    <row r="154" ht="30.75" customHeight="1" x14ac:dyDescent="0.3"/>
    <row r="155" ht="30.75" customHeight="1" x14ac:dyDescent="0.3"/>
    <row r="156" ht="30.75" customHeight="1" x14ac:dyDescent="0.3"/>
    <row r="157" ht="30.75" customHeight="1" x14ac:dyDescent="0.3"/>
    <row r="158" ht="30.75" customHeight="1" x14ac:dyDescent="0.3"/>
    <row r="159" ht="30.75" customHeight="1" x14ac:dyDescent="0.3"/>
    <row r="160" ht="30.75" customHeight="1" x14ac:dyDescent="0.3"/>
    <row r="161" ht="30.75" customHeight="1" x14ac:dyDescent="0.3"/>
    <row r="162" ht="30.75" customHeight="1" x14ac:dyDescent="0.3"/>
    <row r="163" ht="30.75" customHeight="1" x14ac:dyDescent="0.3"/>
    <row r="164" ht="30.75" customHeight="1" x14ac:dyDescent="0.3"/>
    <row r="165" ht="30.75" customHeight="1" x14ac:dyDescent="0.3"/>
    <row r="166" ht="30.75" customHeight="1" x14ac:dyDescent="0.3"/>
    <row r="167" ht="30.75" customHeight="1" x14ac:dyDescent="0.3"/>
    <row r="168" ht="30.75" customHeight="1" x14ac:dyDescent="0.3"/>
    <row r="169" ht="30.75" customHeight="1" x14ac:dyDescent="0.3"/>
    <row r="170" ht="30.75" customHeight="1" x14ac:dyDescent="0.3"/>
    <row r="171" ht="30.75" customHeight="1" x14ac:dyDescent="0.3"/>
    <row r="172" ht="30.75" customHeight="1" x14ac:dyDescent="0.3"/>
    <row r="173" ht="30.75" customHeight="1" x14ac:dyDescent="0.3"/>
    <row r="174" ht="30.75" customHeight="1" x14ac:dyDescent="0.3"/>
    <row r="175" ht="30.75" customHeight="1" x14ac:dyDescent="0.3"/>
    <row r="176" ht="30.75" customHeight="1" x14ac:dyDescent="0.3"/>
    <row r="177" ht="30.75" customHeight="1" x14ac:dyDescent="0.3"/>
    <row r="178" ht="30.75" customHeight="1" x14ac:dyDescent="0.3"/>
    <row r="179" ht="30.75" customHeight="1" x14ac:dyDescent="0.3"/>
    <row r="180" ht="30.75" customHeight="1" x14ac:dyDescent="0.3"/>
    <row r="181" ht="30.75" customHeight="1" x14ac:dyDescent="0.3"/>
    <row r="182" ht="30.75" customHeight="1" x14ac:dyDescent="0.3"/>
    <row r="183" ht="30.75" customHeight="1" x14ac:dyDescent="0.3"/>
    <row r="184" ht="30.75" customHeight="1" x14ac:dyDescent="0.3"/>
    <row r="185" ht="30.75" customHeight="1" x14ac:dyDescent="0.3"/>
    <row r="186" ht="30.75" customHeight="1" x14ac:dyDescent="0.3"/>
    <row r="187" ht="30.75" customHeight="1" x14ac:dyDescent="0.3"/>
    <row r="188" ht="30.75" customHeight="1" x14ac:dyDescent="0.3"/>
    <row r="189" ht="30.75" customHeight="1" x14ac:dyDescent="0.3"/>
    <row r="190" ht="30.75" customHeight="1" x14ac:dyDescent="0.3"/>
    <row r="191" ht="30.75" customHeight="1" x14ac:dyDescent="0.3"/>
    <row r="192" ht="30.75" customHeight="1" x14ac:dyDescent="0.3"/>
    <row r="193" ht="30.75" customHeight="1" x14ac:dyDescent="0.3"/>
    <row r="194" ht="30.75" customHeight="1" x14ac:dyDescent="0.3"/>
    <row r="195" ht="30.75" customHeight="1" x14ac:dyDescent="0.3"/>
    <row r="196" ht="30.75" customHeight="1" x14ac:dyDescent="0.3"/>
    <row r="197" ht="30.75" customHeight="1" x14ac:dyDescent="0.3"/>
    <row r="198" ht="30.75" customHeight="1" x14ac:dyDescent="0.3"/>
    <row r="199" ht="30.75" customHeight="1" x14ac:dyDescent="0.3"/>
    <row r="200" ht="30.75" customHeight="1" x14ac:dyDescent="0.3"/>
    <row r="201" ht="30.75" customHeight="1" x14ac:dyDescent="0.3"/>
    <row r="202" ht="30.75" customHeight="1" x14ac:dyDescent="0.3"/>
    <row r="203" ht="30.75" customHeight="1" x14ac:dyDescent="0.3"/>
    <row r="204" ht="30.75" customHeight="1" x14ac:dyDescent="0.3"/>
    <row r="205" ht="30.75" customHeight="1" x14ac:dyDescent="0.3"/>
    <row r="206" ht="30.75" customHeight="1" x14ac:dyDescent="0.3"/>
    <row r="207" ht="30.75" customHeight="1" x14ac:dyDescent="0.3"/>
    <row r="208" ht="30.75" customHeight="1" x14ac:dyDescent="0.3"/>
    <row r="209" ht="30.75" customHeight="1" x14ac:dyDescent="0.3"/>
    <row r="210" ht="30.75" customHeight="1" x14ac:dyDescent="0.3"/>
    <row r="211" ht="30.75" customHeight="1" x14ac:dyDescent="0.3"/>
    <row r="212" ht="30.75" customHeight="1" x14ac:dyDescent="0.3"/>
    <row r="213" ht="30.75" customHeight="1" x14ac:dyDescent="0.3"/>
    <row r="214" ht="30.75" customHeight="1" x14ac:dyDescent="0.3"/>
    <row r="215" ht="30.75" customHeight="1" x14ac:dyDescent="0.3"/>
    <row r="216" ht="30.75" customHeight="1" x14ac:dyDescent="0.3"/>
    <row r="217" ht="30.75" customHeight="1" x14ac:dyDescent="0.3"/>
    <row r="218" ht="30.75" customHeight="1" x14ac:dyDescent="0.3"/>
    <row r="219" ht="30.75" customHeight="1" x14ac:dyDescent="0.3"/>
    <row r="220" ht="30.75" customHeight="1" x14ac:dyDescent="0.3"/>
    <row r="221" ht="30.75" customHeight="1" x14ac:dyDescent="0.3"/>
    <row r="222" ht="30.75" customHeight="1" x14ac:dyDescent="0.3"/>
    <row r="223" ht="30.75" customHeight="1" x14ac:dyDescent="0.3"/>
    <row r="224" ht="30.75" customHeight="1" x14ac:dyDescent="0.3"/>
    <row r="225" ht="30.75" customHeight="1" x14ac:dyDescent="0.3"/>
    <row r="226" ht="30.75" customHeight="1" x14ac:dyDescent="0.3"/>
    <row r="227" ht="30.75" customHeight="1" x14ac:dyDescent="0.3"/>
    <row r="228" ht="30.75" customHeight="1" x14ac:dyDescent="0.3"/>
    <row r="229" ht="30.75" customHeight="1" x14ac:dyDescent="0.3"/>
    <row r="230" ht="30.75" customHeight="1" x14ac:dyDescent="0.3"/>
    <row r="231" ht="48" customHeight="1" x14ac:dyDescent="0.3"/>
    <row r="232" ht="30.75" customHeight="1" x14ac:dyDescent="0.3"/>
    <row r="233" ht="30.75" customHeight="1" x14ac:dyDescent="0.3"/>
    <row r="234" ht="30.75" customHeight="1" x14ac:dyDescent="0.3"/>
    <row r="235" ht="39.75" customHeight="1" x14ac:dyDescent="0.3"/>
    <row r="236" ht="30.75" customHeight="1" x14ac:dyDescent="0.3"/>
    <row r="237" ht="30.75" customHeight="1" x14ac:dyDescent="0.3"/>
    <row r="238" ht="30.75" customHeight="1" x14ac:dyDescent="0.3"/>
    <row r="239" ht="30.75" customHeight="1" x14ac:dyDescent="0.3"/>
    <row r="240" ht="30.75" customHeight="1" x14ac:dyDescent="0.3"/>
    <row r="241" ht="30.75" customHeight="1" x14ac:dyDescent="0.3"/>
    <row r="242" ht="30.75" customHeight="1" x14ac:dyDescent="0.3"/>
    <row r="243" ht="41.25" customHeight="1" x14ac:dyDescent="0.3"/>
    <row r="244" ht="30.75" customHeight="1" x14ac:dyDescent="0.3"/>
    <row r="245" ht="30.75" customHeight="1" x14ac:dyDescent="0.3"/>
    <row r="246" ht="30.75" customHeight="1" x14ac:dyDescent="0.3"/>
    <row r="247" ht="30.75" customHeight="1" x14ac:dyDescent="0.3"/>
    <row r="248" ht="30.75" customHeight="1" x14ac:dyDescent="0.3"/>
    <row r="249" ht="30.75" customHeight="1" x14ac:dyDescent="0.3"/>
    <row r="250" ht="30.75" customHeight="1" x14ac:dyDescent="0.3"/>
    <row r="251" ht="30.75" customHeight="1" x14ac:dyDescent="0.3"/>
    <row r="252" ht="30.75" customHeight="1" x14ac:dyDescent="0.3"/>
    <row r="253" ht="30.75" customHeight="1" x14ac:dyDescent="0.3"/>
    <row r="254" ht="30.75" customHeight="1" x14ac:dyDescent="0.3"/>
    <row r="255" ht="30.75" customHeight="1" x14ac:dyDescent="0.3"/>
    <row r="256" ht="30.75" customHeight="1" x14ac:dyDescent="0.3"/>
    <row r="257" ht="30.75" customHeight="1" x14ac:dyDescent="0.3"/>
    <row r="258" ht="30.75" customHeight="1" x14ac:dyDescent="0.3"/>
    <row r="259" ht="30.75" customHeight="1" x14ac:dyDescent="0.3"/>
    <row r="260" ht="30.75" customHeight="1" x14ac:dyDescent="0.3"/>
    <row r="261" ht="30.75" customHeight="1" x14ac:dyDescent="0.3"/>
    <row r="262" ht="30.75" customHeight="1" x14ac:dyDescent="0.3"/>
    <row r="263" ht="30.75" customHeight="1" x14ac:dyDescent="0.3"/>
    <row r="264" ht="30.75" customHeight="1" x14ac:dyDescent="0.3"/>
    <row r="265" ht="30.75" customHeight="1" x14ac:dyDescent="0.3"/>
    <row r="266" ht="30.75" customHeight="1" x14ac:dyDescent="0.3"/>
    <row r="267" ht="30.75" customHeight="1" x14ac:dyDescent="0.3"/>
    <row r="268" ht="30.75" customHeight="1" x14ac:dyDescent="0.3"/>
    <row r="269" ht="30.75" customHeight="1" x14ac:dyDescent="0.3"/>
    <row r="270" ht="30.75" customHeight="1" x14ac:dyDescent="0.3"/>
    <row r="271" ht="30.75" customHeight="1" x14ac:dyDescent="0.3"/>
    <row r="272" ht="30.75" customHeight="1" x14ac:dyDescent="0.3"/>
    <row r="273" ht="30.75" customHeight="1" x14ac:dyDescent="0.3"/>
    <row r="274" ht="30.75" customHeight="1" x14ac:dyDescent="0.3"/>
    <row r="275" ht="30.75" customHeight="1" x14ac:dyDescent="0.3"/>
    <row r="276" ht="30.75" customHeight="1" x14ac:dyDescent="0.3"/>
    <row r="277" ht="30.75" customHeight="1" x14ac:dyDescent="0.3"/>
    <row r="278" ht="30.75" customHeight="1" x14ac:dyDescent="0.3"/>
    <row r="279" ht="30.75" customHeight="1" x14ac:dyDescent="0.3"/>
    <row r="280" ht="30.75" customHeight="1" x14ac:dyDescent="0.3"/>
    <row r="281" ht="30.75" customHeight="1" x14ac:dyDescent="0.3"/>
    <row r="282" ht="30.75" customHeight="1" x14ac:dyDescent="0.3"/>
    <row r="283" ht="30.75" customHeight="1" x14ac:dyDescent="0.3"/>
    <row r="284" ht="30.75" customHeight="1" x14ac:dyDescent="0.3"/>
    <row r="285" ht="30.75" customHeight="1" x14ac:dyDescent="0.3"/>
    <row r="286" ht="30.75" customHeight="1" x14ac:dyDescent="0.3"/>
    <row r="287" ht="30.75" customHeight="1" x14ac:dyDescent="0.3"/>
    <row r="288" ht="30.75" customHeight="1" x14ac:dyDescent="0.3"/>
    <row r="289" ht="30.75" customHeight="1" x14ac:dyDescent="0.3"/>
    <row r="290" ht="30.75" customHeight="1" x14ac:dyDescent="0.3"/>
    <row r="291" ht="30.75" customHeight="1" x14ac:dyDescent="0.3"/>
    <row r="292" ht="30.75" customHeight="1" x14ac:dyDescent="0.3"/>
    <row r="293" ht="30.75" customHeight="1" x14ac:dyDescent="0.3"/>
    <row r="294" ht="30.75" customHeight="1" x14ac:dyDescent="0.3"/>
    <row r="295" ht="30.75" customHeight="1" x14ac:dyDescent="0.3"/>
    <row r="296" ht="30.75" customHeight="1" x14ac:dyDescent="0.3"/>
    <row r="297" ht="30.75" customHeight="1" x14ac:dyDescent="0.3"/>
    <row r="298" ht="30.75" customHeight="1" x14ac:dyDescent="0.3"/>
    <row r="299" ht="30.75" customHeight="1" x14ac:dyDescent="0.3"/>
    <row r="300" ht="42.75" customHeight="1" x14ac:dyDescent="0.3"/>
    <row r="301" ht="30.75" customHeight="1" x14ac:dyDescent="0.3"/>
    <row r="302" ht="44.25" customHeight="1" x14ac:dyDescent="0.3"/>
    <row r="303" ht="30.75" customHeight="1" x14ac:dyDescent="0.3"/>
    <row r="304" ht="40.5" customHeight="1" x14ac:dyDescent="0.3"/>
    <row r="305" ht="39.75" customHeight="1" x14ac:dyDescent="0.3"/>
    <row r="306" ht="30.75" customHeight="1" x14ac:dyDescent="0.3"/>
    <row r="307" ht="30.75" customHeight="1" x14ac:dyDescent="0.3"/>
    <row r="308" ht="30.75" customHeight="1" x14ac:dyDescent="0.3"/>
    <row r="309" ht="30.75" customHeight="1" x14ac:dyDescent="0.3"/>
    <row r="310" ht="30.75" customHeight="1" x14ac:dyDescent="0.3"/>
    <row r="311" ht="30.75" customHeight="1" x14ac:dyDescent="0.3"/>
    <row r="312" ht="30.75" customHeight="1" x14ac:dyDescent="0.3"/>
    <row r="313" ht="30.75" customHeight="1" x14ac:dyDescent="0.3"/>
    <row r="314" ht="30.75" customHeight="1" x14ac:dyDescent="0.3"/>
    <row r="315" ht="45.75" customHeight="1" x14ac:dyDescent="0.3"/>
    <row r="316" ht="30.75" customHeight="1" x14ac:dyDescent="0.3"/>
    <row r="317" ht="30.75" customHeight="1" x14ac:dyDescent="0.3"/>
    <row r="318" ht="30.75" customHeight="1" x14ac:dyDescent="0.3"/>
    <row r="319" ht="42" customHeight="1" x14ac:dyDescent="0.3"/>
    <row r="320" ht="30.75" customHeight="1" x14ac:dyDescent="0.3"/>
    <row r="321" ht="30.75" customHeight="1" x14ac:dyDescent="0.3"/>
    <row r="322" ht="30.75" customHeight="1" x14ac:dyDescent="0.3"/>
  </sheetData>
  <mergeCells count="159">
    <mergeCell ref="A73:A77"/>
    <mergeCell ref="D73:F73"/>
    <mergeCell ref="G73:I73"/>
    <mergeCell ref="D98:O98"/>
    <mergeCell ref="A78:A81"/>
    <mergeCell ref="M33:O33"/>
    <mergeCell ref="D29:F29"/>
    <mergeCell ref="G29:I29"/>
    <mergeCell ref="G30:I30"/>
    <mergeCell ref="D31:F31"/>
    <mergeCell ref="G31:I31"/>
    <mergeCell ref="J31:L31"/>
    <mergeCell ref="M31:O31"/>
    <mergeCell ref="G32:I32"/>
    <mergeCell ref="J32:L32"/>
    <mergeCell ref="M32:O32"/>
    <mergeCell ref="A53:A60"/>
    <mergeCell ref="A65:A67"/>
    <mergeCell ref="A68:A72"/>
    <mergeCell ref="G33:I33"/>
    <mergeCell ref="D70:O70"/>
    <mergeCell ref="D71:O71"/>
    <mergeCell ref="D72:I72"/>
    <mergeCell ref="J72:O72"/>
    <mergeCell ref="P82:P83"/>
    <mergeCell ref="A95:A97"/>
    <mergeCell ref="D95:O95"/>
    <mergeCell ref="D97:O97"/>
    <mergeCell ref="D96:F96"/>
    <mergeCell ref="G96:I96"/>
    <mergeCell ref="J96:L96"/>
    <mergeCell ref="M96:O96"/>
    <mergeCell ref="A82:A90"/>
    <mergeCell ref="A91:A94"/>
    <mergeCell ref="D91:O91"/>
    <mergeCell ref="D92:F92"/>
    <mergeCell ref="J92:L92"/>
    <mergeCell ref="M92:O92"/>
    <mergeCell ref="D93:O93"/>
    <mergeCell ref="D94:F94"/>
    <mergeCell ref="G94:I94"/>
    <mergeCell ref="J94:L94"/>
    <mergeCell ref="M94:O94"/>
    <mergeCell ref="G92:I92"/>
    <mergeCell ref="E3:F3"/>
    <mergeCell ref="D5:F5"/>
    <mergeCell ref="G5:I5"/>
    <mergeCell ref="J5:L5"/>
    <mergeCell ref="M5:O5"/>
    <mergeCell ref="A7:A10"/>
    <mergeCell ref="D7:F7"/>
    <mergeCell ref="G7:I7"/>
    <mergeCell ref="J7:L7"/>
    <mergeCell ref="M7:O7"/>
    <mergeCell ref="D8:F8"/>
    <mergeCell ref="G8:I8"/>
    <mergeCell ref="D9:F9"/>
    <mergeCell ref="G9:I9"/>
    <mergeCell ref="J9:L9"/>
    <mergeCell ref="M9:O9"/>
    <mergeCell ref="J8:L8"/>
    <mergeCell ref="M8:O8"/>
    <mergeCell ref="D10:O10"/>
    <mergeCell ref="D17:F17"/>
    <mergeCell ref="G17:I17"/>
    <mergeCell ref="J17:L17"/>
    <mergeCell ref="D22:I22"/>
    <mergeCell ref="J22:O22"/>
    <mergeCell ref="J21:L21"/>
    <mergeCell ref="M21:O21"/>
    <mergeCell ref="A21:A23"/>
    <mergeCell ref="D21:F21"/>
    <mergeCell ref="M17:O17"/>
    <mergeCell ref="D18:F18"/>
    <mergeCell ref="G18:I18"/>
    <mergeCell ref="J18:L18"/>
    <mergeCell ref="M18:O18"/>
    <mergeCell ref="J68:O68"/>
    <mergeCell ref="D81:I81"/>
    <mergeCell ref="J81:O81"/>
    <mergeCell ref="D75:F75"/>
    <mergeCell ref="G75:I75"/>
    <mergeCell ref="D80:I80"/>
    <mergeCell ref="J80:O80"/>
    <mergeCell ref="J75:L75"/>
    <mergeCell ref="M75:O75"/>
    <mergeCell ref="D76:I76"/>
    <mergeCell ref="J76:O76"/>
    <mergeCell ref="D74:I74"/>
    <mergeCell ref="J74:O74"/>
    <mergeCell ref="D78:F78"/>
    <mergeCell ref="G78:I78"/>
    <mergeCell ref="J78:L78"/>
    <mergeCell ref="M78:O78"/>
    <mergeCell ref="D69:O69"/>
    <mergeCell ref="J73:L73"/>
    <mergeCell ref="M73:O73"/>
    <mergeCell ref="D68:I68"/>
    <mergeCell ref="A11:A12"/>
    <mergeCell ref="G34:I34"/>
    <mergeCell ref="D35:F35"/>
    <mergeCell ref="G35:I35"/>
    <mergeCell ref="J35:L35"/>
    <mergeCell ref="M35:O35"/>
    <mergeCell ref="J38:L38"/>
    <mergeCell ref="M36:O36"/>
    <mergeCell ref="M38:O38"/>
    <mergeCell ref="D23:F23"/>
    <mergeCell ref="A24:A28"/>
    <mergeCell ref="D30:F30"/>
    <mergeCell ref="D28:O28"/>
    <mergeCell ref="G23:I23"/>
    <mergeCell ref="J23:L23"/>
    <mergeCell ref="M23:O23"/>
    <mergeCell ref="D26:I26"/>
    <mergeCell ref="A36:A38"/>
    <mergeCell ref="D36:F36"/>
    <mergeCell ref="G36:I36"/>
    <mergeCell ref="D38:F38"/>
    <mergeCell ref="G21:I21"/>
    <mergeCell ref="A16:A18"/>
    <mergeCell ref="A19:A20"/>
    <mergeCell ref="G38:I38"/>
    <mergeCell ref="J36:L36"/>
    <mergeCell ref="D37:F37"/>
    <mergeCell ref="J26:O26"/>
    <mergeCell ref="D27:O27"/>
    <mergeCell ref="A29:A35"/>
    <mergeCell ref="J33:L33"/>
    <mergeCell ref="D32:F32"/>
    <mergeCell ref="J29:L29"/>
    <mergeCell ref="M29:O29"/>
    <mergeCell ref="G37:I37"/>
    <mergeCell ref="J37:L37"/>
    <mergeCell ref="D34:F34"/>
    <mergeCell ref="D33:F33"/>
    <mergeCell ref="J30:L30"/>
    <mergeCell ref="M30:O30"/>
    <mergeCell ref="M34:O34"/>
    <mergeCell ref="J34:L34"/>
    <mergeCell ref="M66:O66"/>
    <mergeCell ref="D67:F67"/>
    <mergeCell ref="G67:I67"/>
    <mergeCell ref="J67:L67"/>
    <mergeCell ref="M67:O67"/>
    <mergeCell ref="A39:A42"/>
    <mergeCell ref="A43:A50"/>
    <mergeCell ref="D39:I39"/>
    <mergeCell ref="J39:O39"/>
    <mergeCell ref="D40:I40"/>
    <mergeCell ref="D42:I42"/>
    <mergeCell ref="J40:O40"/>
    <mergeCell ref="J42:O42"/>
    <mergeCell ref="A61:A64"/>
    <mergeCell ref="D66:F66"/>
    <mergeCell ref="G66:I66"/>
    <mergeCell ref="J66:L66"/>
    <mergeCell ref="D41:I41"/>
    <mergeCell ref="J41:O41"/>
  </mergeCells>
  <conditionalFormatting sqref="D11:O11 D14:O14">
    <cfRule type="cellIs" dxfId="17" priority="4" operator="greaterThan">
      <formula>0.8</formula>
    </cfRule>
  </conditionalFormatting>
  <conditionalFormatting sqref="D11:O11">
    <cfRule type="cellIs" dxfId="16" priority="8" operator="lessThan">
      <formula>0.8</formula>
    </cfRule>
  </conditionalFormatting>
  <conditionalFormatting sqref="D12:O12 D15:O15">
    <cfRule type="cellIs" dxfId="15" priority="3" operator="greaterThan">
      <formula>0.99</formula>
    </cfRule>
  </conditionalFormatting>
  <conditionalFormatting sqref="D12:O12">
    <cfRule type="cellIs" dxfId="14" priority="7" operator="lessThan">
      <formula>0.99</formula>
    </cfRule>
  </conditionalFormatting>
  <conditionalFormatting sqref="D13:O13">
    <cfRule type="cellIs" dxfId="13" priority="2" operator="greaterThan">
      <formula>0.95</formula>
    </cfRule>
    <cfRule type="cellIs" dxfId="12" priority="6" operator="lessThan">
      <formula>0.95</formula>
    </cfRule>
  </conditionalFormatting>
  <conditionalFormatting sqref="D14:O14">
    <cfRule type="cellIs" dxfId="11" priority="5" operator="lessThan">
      <formula>0.8</formula>
    </cfRule>
  </conditionalFormatting>
  <conditionalFormatting sqref="D15:O15">
    <cfRule type="cellIs" dxfId="10" priority="1" operator="lessThan">
      <formula>0.99</formula>
    </cfRule>
  </conditionalFormatting>
  <pageMargins left="0.31496062992125984" right="0.31496062992125984" top="0.35433070866141736" bottom="0.35433070866141736" header="0.31496062992125984" footer="0.19685039370078741"/>
  <pageSetup paperSize="9" scale="37" fitToHeight="0" orientation="portrait" r:id="rId1"/>
  <headerFooter>
    <oddFooter>&amp;C&amp;9&amp;K00-048&amp;P /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334"/>
  <sheetViews>
    <sheetView showGridLines="0" zoomScale="80" zoomScaleNormal="80" workbookViewId="0">
      <pane xSplit="3" ySplit="6" topLeftCell="D58" activePane="bottomRight" state="frozen"/>
      <selection pane="topRight" activeCell="D1" sqref="D1"/>
      <selection pane="bottomLeft" activeCell="A7" sqref="A7"/>
      <selection pane="bottomRight" activeCell="C43" sqref="C43"/>
    </sheetView>
  </sheetViews>
  <sheetFormatPr baseColWidth="10" defaultRowHeight="14.4" x14ac:dyDescent="0.3"/>
  <cols>
    <col min="1" max="1" width="16.109375" customWidth="1"/>
    <col min="2" max="2" width="37" style="116" customWidth="1"/>
    <col min="3" max="3" width="26" bestFit="1" customWidth="1"/>
    <col min="4" max="5" width="16" customWidth="1"/>
    <col min="6" max="10" width="15.88671875" customWidth="1"/>
    <col min="11" max="12" width="15.88671875" style="116" customWidth="1"/>
    <col min="13" max="13" width="15.88671875" customWidth="1"/>
    <col min="14" max="15" width="16" customWidth="1"/>
    <col min="16" max="16" width="55.44140625" customWidth="1"/>
  </cols>
  <sheetData>
    <row r="1" spans="1:16" ht="15.6" x14ac:dyDescent="0.3">
      <c r="A1" s="1"/>
      <c r="B1" s="115"/>
      <c r="C1" s="3"/>
      <c r="D1" s="3"/>
      <c r="E1" s="3" t="s">
        <v>258</v>
      </c>
      <c r="F1" s="4"/>
      <c r="G1" s="143"/>
      <c r="M1" s="39" t="s">
        <v>137</v>
      </c>
    </row>
    <row r="2" spans="1:16" x14ac:dyDescent="0.3">
      <c r="A2" s="1"/>
      <c r="B2" s="115"/>
      <c r="C2" s="1"/>
      <c r="D2" s="1"/>
      <c r="E2" s="1"/>
      <c r="F2" s="1"/>
    </row>
    <row r="3" spans="1:16" x14ac:dyDescent="0.3">
      <c r="A3" s="1"/>
      <c r="B3" s="115"/>
      <c r="C3" s="1"/>
      <c r="D3" s="2" t="s">
        <v>65</v>
      </c>
      <c r="E3" s="854">
        <v>44711</v>
      </c>
      <c r="F3" s="854"/>
    </row>
    <row r="4" spans="1:16" x14ac:dyDescent="0.3">
      <c r="A4" s="1"/>
      <c r="B4" s="115"/>
      <c r="C4" s="1"/>
      <c r="D4" s="1"/>
      <c r="E4" s="1"/>
      <c r="F4" s="1"/>
    </row>
    <row r="5" spans="1:16" x14ac:dyDescent="0.3">
      <c r="A5" s="1"/>
      <c r="B5" s="115"/>
      <c r="C5" s="1"/>
      <c r="D5" s="940" t="s">
        <v>24</v>
      </c>
      <c r="E5" s="941"/>
      <c r="F5" s="942"/>
      <c r="G5" s="943" t="s">
        <v>25</v>
      </c>
      <c r="H5" s="941"/>
      <c r="I5" s="942"/>
      <c r="J5" s="943" t="s">
        <v>26</v>
      </c>
      <c r="K5" s="941"/>
      <c r="L5" s="942"/>
      <c r="M5" s="943" t="s">
        <v>27</v>
      </c>
      <c r="N5" s="941"/>
      <c r="O5" s="944"/>
    </row>
    <row r="6" spans="1:16" s="6" customFormat="1" x14ac:dyDescent="0.3">
      <c r="A6" s="105" t="s">
        <v>0</v>
      </c>
      <c r="B6" s="105" t="s">
        <v>15</v>
      </c>
      <c r="C6" s="106" t="s">
        <v>324</v>
      </c>
      <c r="D6" s="107" t="s">
        <v>3</v>
      </c>
      <c r="E6" s="108" t="s">
        <v>4</v>
      </c>
      <c r="F6" s="108" t="s">
        <v>5</v>
      </c>
      <c r="G6" s="108" t="s">
        <v>6</v>
      </c>
      <c r="H6" s="108" t="s">
        <v>7</v>
      </c>
      <c r="I6" s="108" t="s">
        <v>8</v>
      </c>
      <c r="J6" s="108" t="s">
        <v>9</v>
      </c>
      <c r="K6" s="108" t="s">
        <v>10</v>
      </c>
      <c r="L6" s="108" t="s">
        <v>11</v>
      </c>
      <c r="M6" s="108" t="s">
        <v>12</v>
      </c>
      <c r="N6" s="108" t="s">
        <v>13</v>
      </c>
      <c r="O6" s="108" t="s">
        <v>14</v>
      </c>
    </row>
    <row r="7" spans="1:16" s="6" customFormat="1" ht="34.5" customHeight="1" x14ac:dyDescent="0.3">
      <c r="A7" s="871" t="s">
        <v>22</v>
      </c>
      <c r="B7" s="7" t="s">
        <v>194</v>
      </c>
      <c r="C7" s="33" t="s">
        <v>196</v>
      </c>
      <c r="D7" s="969" t="s">
        <v>325</v>
      </c>
      <c r="E7" s="969"/>
      <c r="F7" s="969"/>
      <c r="G7" s="969" t="s">
        <v>326</v>
      </c>
      <c r="H7" s="969"/>
      <c r="I7" s="969"/>
      <c r="J7" s="969" t="s">
        <v>327</v>
      </c>
      <c r="K7" s="969"/>
      <c r="L7" s="969"/>
      <c r="M7" s="969" t="s">
        <v>498</v>
      </c>
      <c r="N7" s="969"/>
      <c r="O7" s="969"/>
    </row>
    <row r="8" spans="1:16" s="6" customFormat="1" ht="34.5" customHeight="1" x14ac:dyDescent="0.3">
      <c r="A8" s="872"/>
      <c r="B8" s="7" t="s">
        <v>195</v>
      </c>
      <c r="C8" s="114" t="s">
        <v>197</v>
      </c>
      <c r="D8" s="972" t="s">
        <v>328</v>
      </c>
      <c r="E8" s="972"/>
      <c r="F8" s="972"/>
      <c r="G8" s="972" t="s">
        <v>329</v>
      </c>
      <c r="H8" s="972"/>
      <c r="I8" s="972"/>
      <c r="J8" s="972" t="s">
        <v>330</v>
      </c>
      <c r="K8" s="972"/>
      <c r="L8" s="972"/>
      <c r="M8" s="972" t="s">
        <v>330</v>
      </c>
      <c r="N8" s="972"/>
      <c r="O8" s="972"/>
    </row>
    <row r="9" spans="1:16" s="6" customFormat="1" ht="34.5" customHeight="1" x14ac:dyDescent="0.3">
      <c r="A9" s="872"/>
      <c r="B9" s="5" t="s">
        <v>76</v>
      </c>
      <c r="C9" s="34" t="s">
        <v>133</v>
      </c>
      <c r="D9" s="972">
        <v>2</v>
      </c>
      <c r="E9" s="972"/>
      <c r="F9" s="972"/>
      <c r="G9" s="972">
        <v>0</v>
      </c>
      <c r="H9" s="972"/>
      <c r="I9" s="972"/>
      <c r="J9" s="972">
        <v>1</v>
      </c>
      <c r="K9" s="972"/>
      <c r="L9" s="972"/>
      <c r="M9" s="972">
        <v>1</v>
      </c>
      <c r="N9" s="972"/>
      <c r="O9" s="972"/>
    </row>
    <row r="10" spans="1:16" s="6" customFormat="1" ht="34.5" customHeight="1" x14ac:dyDescent="0.3">
      <c r="A10" s="889"/>
      <c r="B10" s="13" t="s">
        <v>224</v>
      </c>
      <c r="C10" s="35" t="s">
        <v>96</v>
      </c>
      <c r="D10" s="976"/>
      <c r="E10" s="976"/>
      <c r="F10" s="976"/>
      <c r="G10" s="976"/>
      <c r="H10" s="976"/>
      <c r="I10" s="976"/>
      <c r="J10" s="976"/>
      <c r="K10" s="976"/>
      <c r="L10" s="976"/>
      <c r="M10" s="976"/>
      <c r="N10" s="976"/>
      <c r="O10" s="976"/>
    </row>
    <row r="11" spans="1:16" s="6" customFormat="1" ht="34.5" customHeight="1" x14ac:dyDescent="0.3">
      <c r="A11" s="871" t="s">
        <v>57</v>
      </c>
      <c r="B11" s="12" t="s">
        <v>274</v>
      </c>
      <c r="C11" s="170" t="s">
        <v>82</v>
      </c>
      <c r="D11" s="276">
        <v>0.8105</v>
      </c>
      <c r="E11" s="277">
        <v>0.86709999999999998</v>
      </c>
      <c r="F11" s="277">
        <v>0.81100000000000005</v>
      </c>
      <c r="G11" s="277">
        <v>0.60929999999999995</v>
      </c>
      <c r="H11" s="277">
        <v>0.78369999999999995</v>
      </c>
      <c r="I11" s="277">
        <v>0.76</v>
      </c>
      <c r="J11" s="277">
        <v>0.72</v>
      </c>
      <c r="K11" s="277">
        <v>0.97219999999999995</v>
      </c>
      <c r="L11" s="277">
        <v>0.74070000000000003</v>
      </c>
      <c r="M11" s="277">
        <v>0.73409999999999997</v>
      </c>
      <c r="N11" s="277">
        <v>0.88070000000000004</v>
      </c>
      <c r="O11" s="278">
        <v>0.72350000000000003</v>
      </c>
      <c r="P11" s="165"/>
    </row>
    <row r="12" spans="1:16" s="6" customFormat="1" ht="34.5" customHeight="1" x14ac:dyDescent="0.3">
      <c r="A12" s="872"/>
      <c r="B12" s="5" t="s">
        <v>276</v>
      </c>
      <c r="C12" s="93" t="s">
        <v>247</v>
      </c>
      <c r="D12" s="279">
        <f>1-0%</f>
        <v>1</v>
      </c>
      <c r="E12" s="280">
        <f>1-0%</f>
        <v>1</v>
      </c>
      <c r="F12" s="280">
        <f>1-0%</f>
        <v>1</v>
      </c>
      <c r="G12" s="280">
        <f t="shared" ref="G12:O12" si="0">1-0%</f>
        <v>1</v>
      </c>
      <c r="H12" s="280">
        <f t="shared" si="0"/>
        <v>1</v>
      </c>
      <c r="I12" s="280">
        <f t="shared" si="0"/>
        <v>1</v>
      </c>
      <c r="J12" s="280">
        <f t="shared" si="0"/>
        <v>1</v>
      </c>
      <c r="K12" s="280">
        <f t="shared" si="0"/>
        <v>1</v>
      </c>
      <c r="L12" s="280">
        <f t="shared" si="0"/>
        <v>1</v>
      </c>
      <c r="M12" s="280">
        <f t="shared" si="0"/>
        <v>1</v>
      </c>
      <c r="N12" s="280">
        <f t="shared" si="0"/>
        <v>1</v>
      </c>
      <c r="O12" s="281">
        <f t="shared" si="0"/>
        <v>1</v>
      </c>
      <c r="P12" s="165"/>
    </row>
    <row r="13" spans="1:16" s="6" customFormat="1" ht="34.5" customHeight="1" x14ac:dyDescent="0.3">
      <c r="A13" s="872"/>
      <c r="B13" s="8" t="s">
        <v>277</v>
      </c>
      <c r="C13" s="172" t="s">
        <v>248</v>
      </c>
      <c r="D13" s="279">
        <v>1</v>
      </c>
      <c r="E13" s="280">
        <v>1</v>
      </c>
      <c r="F13" s="280">
        <v>1</v>
      </c>
      <c r="G13" s="280">
        <v>1</v>
      </c>
      <c r="H13" s="280">
        <v>1</v>
      </c>
      <c r="I13" s="280">
        <v>1</v>
      </c>
      <c r="J13" s="280">
        <v>1</v>
      </c>
      <c r="K13" s="280">
        <v>1</v>
      </c>
      <c r="L13" s="280">
        <v>1</v>
      </c>
      <c r="M13" s="280">
        <v>1</v>
      </c>
      <c r="N13" s="280">
        <v>1</v>
      </c>
      <c r="O13" s="282"/>
      <c r="P13" s="165"/>
    </row>
    <row r="14" spans="1:16" s="6" customFormat="1" ht="34.5" customHeight="1" x14ac:dyDescent="0.3">
      <c r="A14" s="872"/>
      <c r="B14" s="12" t="s">
        <v>278</v>
      </c>
      <c r="C14" s="170" t="s">
        <v>82</v>
      </c>
      <c r="D14" s="283"/>
      <c r="E14" s="284"/>
      <c r="F14" s="285"/>
      <c r="G14" s="285"/>
      <c r="H14" s="284"/>
      <c r="I14" s="285"/>
      <c r="J14" s="285"/>
      <c r="K14" s="284"/>
      <c r="L14" s="285"/>
      <c r="M14" s="285"/>
      <c r="N14" s="284"/>
      <c r="O14" s="286"/>
      <c r="P14" s="165"/>
    </row>
    <row r="15" spans="1:16" s="6" customFormat="1" ht="34.5" customHeight="1" x14ac:dyDescent="0.3">
      <c r="A15" s="889"/>
      <c r="B15" s="5" t="s">
        <v>279</v>
      </c>
      <c r="C15" s="93" t="s">
        <v>247</v>
      </c>
      <c r="D15" s="287"/>
      <c r="E15" s="288"/>
      <c r="F15" s="288"/>
      <c r="G15" s="288"/>
      <c r="H15" s="288"/>
      <c r="I15" s="288"/>
      <c r="J15" s="288"/>
      <c r="K15" s="288"/>
      <c r="L15" s="288"/>
      <c r="M15" s="288"/>
      <c r="N15" s="288"/>
      <c r="O15" s="289"/>
      <c r="P15" s="165"/>
    </row>
    <row r="16" spans="1:16" s="6" customFormat="1" ht="34.5" customHeight="1" x14ac:dyDescent="0.3">
      <c r="A16" s="869" t="s">
        <v>75</v>
      </c>
      <c r="B16" s="12" t="s">
        <v>37</v>
      </c>
      <c r="C16" s="93" t="s">
        <v>318</v>
      </c>
      <c r="D16" s="977">
        <v>38731</v>
      </c>
      <c r="E16" s="978"/>
      <c r="F16" s="978"/>
      <c r="G16" s="978">
        <v>17731</v>
      </c>
      <c r="H16" s="978"/>
      <c r="I16" s="978"/>
      <c r="J16" s="978">
        <v>42063</v>
      </c>
      <c r="K16" s="978"/>
      <c r="L16" s="978"/>
      <c r="M16" s="978">
        <v>66647</v>
      </c>
      <c r="N16" s="978"/>
      <c r="O16" s="979"/>
      <c r="P16" s="166"/>
    </row>
    <row r="17" spans="1:16" s="6" customFormat="1" ht="46.5" customHeight="1" x14ac:dyDescent="0.3">
      <c r="A17" s="870"/>
      <c r="B17" s="5" t="s">
        <v>122</v>
      </c>
      <c r="C17" s="93" t="s">
        <v>319</v>
      </c>
      <c r="D17" s="980">
        <v>0</v>
      </c>
      <c r="E17" s="981"/>
      <c r="F17" s="981"/>
      <c r="G17" s="981">
        <v>0</v>
      </c>
      <c r="H17" s="981"/>
      <c r="I17" s="981"/>
      <c r="J17" s="981">
        <v>0</v>
      </c>
      <c r="K17" s="981"/>
      <c r="L17" s="981"/>
      <c r="M17" s="981">
        <v>0</v>
      </c>
      <c r="N17" s="981"/>
      <c r="O17" s="982"/>
    </row>
    <row r="18" spans="1:16" s="6" customFormat="1" ht="46.5" customHeight="1" x14ac:dyDescent="0.3">
      <c r="A18" s="870"/>
      <c r="B18" s="5" t="s">
        <v>38</v>
      </c>
      <c r="C18" s="93" t="s">
        <v>320</v>
      </c>
      <c r="D18" s="980">
        <v>0</v>
      </c>
      <c r="E18" s="981"/>
      <c r="F18" s="981"/>
      <c r="G18" s="981">
        <v>0</v>
      </c>
      <c r="H18" s="981"/>
      <c r="I18" s="981"/>
      <c r="J18" s="981">
        <v>0</v>
      </c>
      <c r="K18" s="981"/>
      <c r="L18" s="981"/>
      <c r="M18" s="981">
        <v>0</v>
      </c>
      <c r="N18" s="981"/>
      <c r="O18" s="982"/>
    </row>
    <row r="19" spans="1:16" s="6" customFormat="1" ht="46.5" customHeight="1" x14ac:dyDescent="0.3">
      <c r="A19" s="870"/>
      <c r="B19" s="8" t="s">
        <v>322</v>
      </c>
      <c r="C19" s="266" t="s">
        <v>321</v>
      </c>
      <c r="D19" s="983">
        <v>117526.37820424599</v>
      </c>
      <c r="E19" s="970"/>
      <c r="F19" s="970"/>
      <c r="G19" s="970">
        <v>99632.775769598127</v>
      </c>
      <c r="H19" s="970"/>
      <c r="I19" s="970"/>
      <c r="J19" s="970">
        <v>91417.443962528763</v>
      </c>
      <c r="K19" s="970"/>
      <c r="L19" s="970"/>
      <c r="M19" s="970">
        <v>115886.01425184842</v>
      </c>
      <c r="N19" s="970"/>
      <c r="O19" s="971"/>
    </row>
    <row r="20" spans="1:16" s="6" customFormat="1" ht="58.5" customHeight="1" x14ac:dyDescent="0.3">
      <c r="A20" s="869" t="s">
        <v>176</v>
      </c>
      <c r="B20" s="140" t="s">
        <v>314</v>
      </c>
      <c r="C20" s="76" t="s">
        <v>82</v>
      </c>
      <c r="D20" s="290">
        <v>1</v>
      </c>
      <c r="E20" s="290">
        <v>1</v>
      </c>
      <c r="F20" s="290">
        <v>1</v>
      </c>
      <c r="G20" s="290">
        <v>1</v>
      </c>
      <c r="H20" s="314"/>
      <c r="I20" s="314"/>
      <c r="J20" s="315"/>
      <c r="K20" s="316"/>
      <c r="L20" s="316"/>
      <c r="M20" s="314"/>
      <c r="N20" s="314"/>
      <c r="O20" s="317"/>
      <c r="P20" s="164"/>
    </row>
    <row r="21" spans="1:16" s="6" customFormat="1" ht="57.6" x14ac:dyDescent="0.3">
      <c r="A21" s="870"/>
      <c r="B21" s="141" t="s">
        <v>315</v>
      </c>
      <c r="C21" s="77" t="s">
        <v>82</v>
      </c>
      <c r="D21" s="169">
        <v>1</v>
      </c>
      <c r="E21" s="169">
        <v>1</v>
      </c>
      <c r="F21" s="169">
        <v>1</v>
      </c>
      <c r="G21" s="169">
        <v>1</v>
      </c>
      <c r="H21" s="318"/>
      <c r="I21" s="318"/>
      <c r="J21" s="319"/>
      <c r="K21" s="320"/>
      <c r="L21" s="320"/>
      <c r="M21" s="318"/>
      <c r="N21" s="318"/>
      <c r="O21" s="321"/>
      <c r="P21" s="164"/>
    </row>
    <row r="22" spans="1:16" s="6" customFormat="1" ht="58.5" customHeight="1" x14ac:dyDescent="0.3">
      <c r="A22" s="870"/>
      <c r="B22" s="141" t="s">
        <v>316</v>
      </c>
      <c r="C22" s="77" t="s">
        <v>96</v>
      </c>
      <c r="D22" s="169">
        <v>1</v>
      </c>
      <c r="E22" s="169">
        <v>1</v>
      </c>
      <c r="F22" s="169">
        <v>1</v>
      </c>
      <c r="G22" s="169">
        <v>1</v>
      </c>
      <c r="H22" s="169">
        <v>0.56999999999999995</v>
      </c>
      <c r="I22" s="169">
        <v>1</v>
      </c>
      <c r="J22" s="169">
        <v>1</v>
      </c>
      <c r="K22" s="169">
        <v>0.74</v>
      </c>
      <c r="L22" s="169">
        <v>0.9</v>
      </c>
      <c r="M22" s="169">
        <v>0.71</v>
      </c>
      <c r="N22" s="169">
        <v>1</v>
      </c>
      <c r="O22" s="169">
        <v>1</v>
      </c>
      <c r="P22" s="164"/>
    </row>
    <row r="23" spans="1:16" s="6" customFormat="1" ht="59.25" customHeight="1" x14ac:dyDescent="0.3">
      <c r="A23" s="872"/>
      <c r="B23" s="258" t="s">
        <v>317</v>
      </c>
      <c r="C23" s="87" t="s">
        <v>82</v>
      </c>
      <c r="D23" s="213" t="s">
        <v>251</v>
      </c>
      <c r="E23" s="213" t="s">
        <v>251</v>
      </c>
      <c r="F23" s="177" t="s">
        <v>251</v>
      </c>
      <c r="G23" s="177">
        <v>1</v>
      </c>
      <c r="H23" s="169" t="s">
        <v>251</v>
      </c>
      <c r="I23" s="169" t="s">
        <v>251</v>
      </c>
      <c r="J23" s="169" t="s">
        <v>251</v>
      </c>
      <c r="K23" s="169" t="s">
        <v>251</v>
      </c>
      <c r="L23" s="169">
        <v>1</v>
      </c>
      <c r="M23" s="169" t="s">
        <v>251</v>
      </c>
      <c r="N23" s="169">
        <v>1</v>
      </c>
      <c r="O23" s="169" t="s">
        <v>251</v>
      </c>
      <c r="P23" s="164"/>
    </row>
    <row r="24" spans="1:16" s="6" customFormat="1" ht="34.5" customHeight="1" x14ac:dyDescent="0.3">
      <c r="A24" s="871" t="s">
        <v>42</v>
      </c>
      <c r="B24" s="12" t="s">
        <v>40</v>
      </c>
      <c r="C24" s="36" t="s">
        <v>96</v>
      </c>
      <c r="D24" s="843">
        <v>1</v>
      </c>
      <c r="E24" s="794"/>
      <c r="F24" s="800"/>
      <c r="G24" s="843">
        <v>1</v>
      </c>
      <c r="H24" s="794"/>
      <c r="I24" s="800"/>
      <c r="J24" s="843">
        <v>1</v>
      </c>
      <c r="K24" s="794"/>
      <c r="L24" s="800"/>
      <c r="M24" s="843">
        <v>1</v>
      </c>
      <c r="N24" s="794"/>
      <c r="O24" s="800"/>
    </row>
    <row r="25" spans="1:16" s="6" customFormat="1" ht="34.5" customHeight="1" x14ac:dyDescent="0.3">
      <c r="A25" s="872"/>
      <c r="B25" s="5" t="s">
        <v>234</v>
      </c>
      <c r="C25" s="34" t="s">
        <v>138</v>
      </c>
      <c r="D25" s="813">
        <v>1</v>
      </c>
      <c r="E25" s="811"/>
      <c r="F25" s="811"/>
      <c r="G25" s="811"/>
      <c r="H25" s="811"/>
      <c r="I25" s="812"/>
      <c r="J25" s="810">
        <f>1+1</f>
        <v>2</v>
      </c>
      <c r="K25" s="811"/>
      <c r="L25" s="811"/>
      <c r="M25" s="811"/>
      <c r="N25" s="811"/>
      <c r="O25" s="812"/>
    </row>
    <row r="26" spans="1:16" s="6" customFormat="1" ht="34.5" customHeight="1" x14ac:dyDescent="0.3">
      <c r="A26" s="872"/>
      <c r="B26" s="13" t="s">
        <v>41</v>
      </c>
      <c r="C26" s="35" t="s">
        <v>138</v>
      </c>
      <c r="D26" s="798">
        <v>4</v>
      </c>
      <c r="E26" s="798"/>
      <c r="F26" s="801"/>
      <c r="G26" s="797">
        <f>3</f>
        <v>3</v>
      </c>
      <c r="H26" s="798"/>
      <c r="I26" s="801"/>
      <c r="J26" s="797">
        <f>2</f>
        <v>2</v>
      </c>
      <c r="K26" s="798"/>
      <c r="L26" s="801"/>
      <c r="M26" s="797">
        <f>7+3</f>
        <v>10</v>
      </c>
      <c r="N26" s="798"/>
      <c r="O26" s="801"/>
    </row>
    <row r="27" spans="1:16" s="6" customFormat="1" ht="34.5" customHeight="1" x14ac:dyDescent="0.3">
      <c r="A27" s="871" t="s">
        <v>29</v>
      </c>
      <c r="B27" s="12" t="s">
        <v>175</v>
      </c>
      <c r="C27" s="76" t="s">
        <v>250</v>
      </c>
      <c r="D27" s="61">
        <v>0</v>
      </c>
      <c r="E27" s="61">
        <v>0</v>
      </c>
      <c r="F27" s="61">
        <v>0</v>
      </c>
      <c r="G27" s="61">
        <v>0</v>
      </c>
      <c r="H27" s="61">
        <v>0</v>
      </c>
      <c r="I27" s="61">
        <v>0</v>
      </c>
      <c r="J27" s="61">
        <v>0</v>
      </c>
      <c r="K27" s="61">
        <v>1</v>
      </c>
      <c r="L27" s="61">
        <v>0</v>
      </c>
      <c r="M27" s="61">
        <v>0</v>
      </c>
      <c r="N27" s="61">
        <v>0</v>
      </c>
      <c r="O27" s="61">
        <v>0</v>
      </c>
    </row>
    <row r="28" spans="1:16" s="6" customFormat="1" ht="34.5" customHeight="1" x14ac:dyDescent="0.3">
      <c r="A28" s="872"/>
      <c r="B28" s="5" t="s">
        <v>188</v>
      </c>
      <c r="C28" s="95" t="s">
        <v>119</v>
      </c>
      <c r="D28" s="28">
        <v>0</v>
      </c>
      <c r="E28" s="28">
        <v>0</v>
      </c>
      <c r="F28" s="28">
        <v>0</v>
      </c>
      <c r="G28" s="28">
        <v>0</v>
      </c>
      <c r="H28" s="28">
        <v>0</v>
      </c>
      <c r="I28" s="28">
        <v>0</v>
      </c>
      <c r="J28" s="28">
        <v>0</v>
      </c>
      <c r="K28" s="28">
        <v>0</v>
      </c>
      <c r="L28" s="28">
        <v>0</v>
      </c>
      <c r="M28" s="28">
        <v>0</v>
      </c>
      <c r="N28" s="28">
        <v>1</v>
      </c>
      <c r="O28" s="28">
        <v>0</v>
      </c>
    </row>
    <row r="29" spans="1:16" s="6" customFormat="1" ht="34.5" customHeight="1" x14ac:dyDescent="0.3">
      <c r="A29" s="872"/>
      <c r="B29" s="5" t="s">
        <v>225</v>
      </c>
      <c r="C29" s="113" t="s">
        <v>133</v>
      </c>
      <c r="D29" s="810">
        <v>1</v>
      </c>
      <c r="E29" s="811"/>
      <c r="F29" s="811"/>
      <c r="G29" s="811"/>
      <c r="H29" s="811"/>
      <c r="I29" s="812"/>
      <c r="J29" s="810">
        <v>0</v>
      </c>
      <c r="K29" s="811"/>
      <c r="L29" s="811"/>
      <c r="M29" s="811"/>
      <c r="N29" s="811"/>
      <c r="O29" s="812"/>
    </row>
    <row r="30" spans="1:16" s="6" customFormat="1" ht="34.5" customHeight="1" x14ac:dyDescent="0.3">
      <c r="A30" s="872"/>
      <c r="B30" s="5" t="s">
        <v>189</v>
      </c>
      <c r="C30" s="77" t="s">
        <v>80</v>
      </c>
      <c r="D30" s="820">
        <v>0.95</v>
      </c>
      <c r="E30" s="811"/>
      <c r="F30" s="811"/>
      <c r="G30" s="811"/>
      <c r="H30" s="811"/>
      <c r="I30" s="811"/>
      <c r="J30" s="811"/>
      <c r="K30" s="811"/>
      <c r="L30" s="811"/>
      <c r="M30" s="811"/>
      <c r="N30" s="811"/>
      <c r="O30" s="812"/>
    </row>
    <row r="31" spans="1:16" s="6" customFormat="1" ht="28.8" x14ac:dyDescent="0.3">
      <c r="A31" s="889"/>
      <c r="B31" s="8" t="s">
        <v>190</v>
      </c>
      <c r="C31" s="87" t="s">
        <v>80</v>
      </c>
      <c r="D31" s="832">
        <v>0.5</v>
      </c>
      <c r="E31" s="802"/>
      <c r="F31" s="802"/>
      <c r="G31" s="802"/>
      <c r="H31" s="802"/>
      <c r="I31" s="802"/>
      <c r="J31" s="802"/>
      <c r="K31" s="802"/>
      <c r="L31" s="802"/>
      <c r="M31" s="802"/>
      <c r="N31" s="802"/>
      <c r="O31" s="803"/>
    </row>
    <row r="32" spans="1:16" s="96" customFormat="1" ht="34.5" customHeight="1" x14ac:dyDescent="0.3">
      <c r="A32" s="871" t="s">
        <v>43</v>
      </c>
      <c r="B32" s="7" t="s">
        <v>44</v>
      </c>
      <c r="C32" s="93" t="s">
        <v>243</v>
      </c>
      <c r="D32" s="973">
        <v>0.74419999999999997</v>
      </c>
      <c r="E32" s="924"/>
      <c r="F32" s="924"/>
      <c r="G32" s="973">
        <v>0.28839999999999999</v>
      </c>
      <c r="H32" s="924"/>
      <c r="I32" s="924"/>
      <c r="J32" s="974">
        <v>0.34610000000000002</v>
      </c>
      <c r="K32" s="975"/>
      <c r="L32" s="975"/>
      <c r="M32" s="973">
        <v>0.4773</v>
      </c>
      <c r="N32" s="924"/>
      <c r="O32" s="924"/>
    </row>
    <row r="33" spans="1:16" s="6" customFormat="1" ht="34.5" customHeight="1" x14ac:dyDescent="0.3">
      <c r="A33" s="872"/>
      <c r="B33" s="5" t="s">
        <v>45</v>
      </c>
      <c r="C33" s="93" t="s">
        <v>82</v>
      </c>
      <c r="D33" s="973">
        <v>0.99</v>
      </c>
      <c r="E33" s="924"/>
      <c r="F33" s="924"/>
      <c r="G33" s="973">
        <v>1</v>
      </c>
      <c r="H33" s="924"/>
      <c r="I33" s="924"/>
      <c r="J33" s="974">
        <v>1</v>
      </c>
      <c r="K33" s="975"/>
      <c r="L33" s="975"/>
      <c r="M33" s="973">
        <v>1</v>
      </c>
      <c r="N33" s="924"/>
      <c r="O33" s="924"/>
    </row>
    <row r="34" spans="1:16" s="6" customFormat="1" ht="28.8" x14ac:dyDescent="0.3">
      <c r="A34" s="872"/>
      <c r="B34" s="5" t="s">
        <v>179</v>
      </c>
      <c r="C34" s="34" t="s">
        <v>90</v>
      </c>
      <c r="D34" s="973">
        <v>0.96</v>
      </c>
      <c r="E34" s="924"/>
      <c r="F34" s="924"/>
      <c r="G34" s="973">
        <v>0.95</v>
      </c>
      <c r="H34" s="924"/>
      <c r="I34" s="924"/>
      <c r="J34" s="974">
        <v>0.94</v>
      </c>
      <c r="K34" s="975"/>
      <c r="L34" s="975"/>
      <c r="M34" s="973">
        <v>0.95</v>
      </c>
      <c r="N34" s="924"/>
      <c r="O34" s="924"/>
    </row>
    <row r="35" spans="1:16" s="6" customFormat="1" ht="34.5" customHeight="1" x14ac:dyDescent="0.3">
      <c r="A35" s="872"/>
      <c r="B35" s="5" t="s">
        <v>47</v>
      </c>
      <c r="C35" s="34" t="s">
        <v>123</v>
      </c>
      <c r="D35" s="995">
        <v>1.9699999999999999E-2</v>
      </c>
      <c r="E35" s="995"/>
      <c r="F35" s="995"/>
      <c r="G35" s="973">
        <v>0.04</v>
      </c>
      <c r="H35" s="924"/>
      <c r="I35" s="924"/>
      <c r="J35" s="997">
        <v>3.8800000000000001E-2</v>
      </c>
      <c r="K35" s="997"/>
      <c r="L35" s="997"/>
      <c r="M35" s="995">
        <v>9.1999999999999998E-3</v>
      </c>
      <c r="N35" s="995"/>
      <c r="O35" s="995"/>
    </row>
    <row r="36" spans="1:16" s="6" customFormat="1" ht="34.5" customHeight="1" x14ac:dyDescent="0.3">
      <c r="A36" s="872"/>
      <c r="B36" s="13" t="s">
        <v>178</v>
      </c>
      <c r="C36" s="35" t="s">
        <v>124</v>
      </c>
      <c r="D36" s="973">
        <v>0.46</v>
      </c>
      <c r="E36" s="924"/>
      <c r="F36" s="924"/>
      <c r="G36" s="973">
        <v>0.64</v>
      </c>
      <c r="H36" s="924"/>
      <c r="I36" s="924"/>
      <c r="J36" s="974">
        <v>0.22</v>
      </c>
      <c r="K36" s="975"/>
      <c r="L36" s="975"/>
      <c r="M36" s="973">
        <v>0.78</v>
      </c>
      <c r="N36" s="924"/>
      <c r="O36" s="924"/>
    </row>
    <row r="37" spans="1:16" s="117" customFormat="1" ht="34.5" customHeight="1" x14ac:dyDescent="0.3">
      <c r="A37" s="889"/>
      <c r="B37" s="8" t="s">
        <v>39</v>
      </c>
      <c r="C37" s="35" t="s">
        <v>96</v>
      </c>
      <c r="D37" s="995">
        <v>9.8400000000000001E-2</v>
      </c>
      <c r="E37" s="995"/>
      <c r="F37" s="995"/>
      <c r="G37" s="996">
        <v>5.2900000000000003E-2</v>
      </c>
      <c r="H37" s="996"/>
      <c r="I37" s="996"/>
      <c r="J37" s="974">
        <v>0.06</v>
      </c>
      <c r="K37" s="974"/>
      <c r="L37" s="974"/>
      <c r="M37" s="995">
        <v>0.51139999999999997</v>
      </c>
      <c r="N37" s="995"/>
      <c r="O37" s="995"/>
    </row>
    <row r="38" spans="1:16" s="6" customFormat="1" ht="34.5" customHeight="1" x14ac:dyDescent="0.3">
      <c r="A38" s="952" t="s">
        <v>19</v>
      </c>
      <c r="B38" s="12" t="s">
        <v>255</v>
      </c>
      <c r="C38" s="214">
        <v>12880000</v>
      </c>
      <c r="D38" s="990">
        <v>3110563.88</v>
      </c>
      <c r="E38" s="848"/>
      <c r="F38" s="849"/>
      <c r="G38" s="991">
        <v>3947101</v>
      </c>
      <c r="H38" s="991"/>
      <c r="I38" s="991"/>
      <c r="J38" s="991">
        <v>3025508.05</v>
      </c>
      <c r="K38" s="991"/>
      <c r="L38" s="991"/>
      <c r="M38" s="991">
        <v>3926329</v>
      </c>
      <c r="N38" s="991"/>
      <c r="O38" s="991"/>
    </row>
    <row r="39" spans="1:16" s="6" customFormat="1" ht="34.5" customHeight="1" x14ac:dyDescent="0.3">
      <c r="A39" s="953"/>
      <c r="B39" s="5" t="s">
        <v>256</v>
      </c>
      <c r="C39" s="215">
        <v>257770</v>
      </c>
      <c r="D39" s="992">
        <v>14432</v>
      </c>
      <c r="E39" s="992"/>
      <c r="F39" s="992"/>
      <c r="G39" s="993">
        <v>1558</v>
      </c>
      <c r="H39" s="993"/>
      <c r="I39" s="993"/>
      <c r="J39" s="993">
        <v>1607</v>
      </c>
      <c r="K39" s="993"/>
      <c r="L39" s="993"/>
      <c r="M39" s="984">
        <v>1516</v>
      </c>
      <c r="N39" s="985"/>
      <c r="O39" s="986"/>
    </row>
    <row r="40" spans="1:16" s="6" customFormat="1" ht="34.5" customHeight="1" x14ac:dyDescent="0.3">
      <c r="A40" s="953"/>
      <c r="B40" s="5" t="s">
        <v>272</v>
      </c>
      <c r="C40" s="216" t="s">
        <v>246</v>
      </c>
      <c r="D40" s="994">
        <v>0</v>
      </c>
      <c r="E40" s="994"/>
      <c r="F40" s="994"/>
      <c r="G40" s="984">
        <v>0</v>
      </c>
      <c r="H40" s="985"/>
      <c r="I40" s="986"/>
      <c r="J40" s="984">
        <v>0</v>
      </c>
      <c r="K40" s="985"/>
      <c r="L40" s="986"/>
      <c r="M40" s="984">
        <v>0</v>
      </c>
      <c r="N40" s="985"/>
      <c r="O40" s="986"/>
    </row>
    <row r="41" spans="1:16" s="6" customFormat="1" ht="34.5" customHeight="1" x14ac:dyDescent="0.3">
      <c r="A41" s="989"/>
      <c r="B41" s="8" t="s">
        <v>273</v>
      </c>
      <c r="C41" s="217">
        <v>4</v>
      </c>
      <c r="D41" s="987">
        <v>0</v>
      </c>
      <c r="E41" s="987"/>
      <c r="F41" s="987"/>
      <c r="G41" s="988">
        <v>0</v>
      </c>
      <c r="H41" s="988"/>
      <c r="I41" s="988"/>
      <c r="J41" s="988">
        <v>0</v>
      </c>
      <c r="K41" s="988"/>
      <c r="L41" s="988"/>
      <c r="M41" s="988">
        <v>0</v>
      </c>
      <c r="N41" s="988"/>
      <c r="O41" s="988"/>
    </row>
    <row r="42" spans="1:16" s="6" customFormat="1" ht="34.5" customHeight="1" x14ac:dyDescent="0.3">
      <c r="A42" s="869" t="s">
        <v>48</v>
      </c>
      <c r="B42" s="155" t="s">
        <v>235</v>
      </c>
      <c r="C42" s="158" t="s">
        <v>236</v>
      </c>
      <c r="D42" s="1006">
        <v>0.67</v>
      </c>
      <c r="E42" s="1007"/>
      <c r="F42" s="1007"/>
      <c r="G42" s="1007"/>
      <c r="H42" s="1007"/>
      <c r="I42" s="1007"/>
      <c r="J42" s="1007"/>
      <c r="K42" s="1007"/>
      <c r="L42" s="1007"/>
      <c r="M42" s="1007"/>
      <c r="N42" s="1007"/>
      <c r="O42" s="1008"/>
      <c r="P42" s="164"/>
    </row>
    <row r="43" spans="1:16" s="6" customFormat="1" ht="41.4" x14ac:dyDescent="0.3">
      <c r="A43" s="870"/>
      <c r="B43" s="156" t="s">
        <v>237</v>
      </c>
      <c r="C43" s="159" t="s">
        <v>238</v>
      </c>
      <c r="D43" s="1009">
        <v>1</v>
      </c>
      <c r="E43" s="1010"/>
      <c r="F43" s="1010"/>
      <c r="G43" s="1010"/>
      <c r="H43" s="1010"/>
      <c r="I43" s="1010"/>
      <c r="J43" s="1010"/>
      <c r="K43" s="1010"/>
      <c r="L43" s="1010"/>
      <c r="M43" s="1010"/>
      <c r="N43" s="1010"/>
      <c r="O43" s="1011"/>
      <c r="P43" s="164"/>
    </row>
    <row r="44" spans="1:16" s="6" customFormat="1" ht="34.5" customHeight="1" x14ac:dyDescent="0.3">
      <c r="A44" s="870"/>
      <c r="B44" s="157" t="s">
        <v>239</v>
      </c>
      <c r="C44" s="160" t="s">
        <v>96</v>
      </c>
      <c r="D44" s="1009">
        <v>1</v>
      </c>
      <c r="E44" s="1010"/>
      <c r="F44" s="1010"/>
      <c r="G44" s="1010"/>
      <c r="H44" s="1010"/>
      <c r="I44" s="1010"/>
      <c r="J44" s="1010"/>
      <c r="K44" s="1010"/>
      <c r="L44" s="1010"/>
      <c r="M44" s="1010"/>
      <c r="N44" s="1010"/>
      <c r="O44" s="1011"/>
      <c r="P44" s="164"/>
    </row>
    <row r="45" spans="1:16" s="6" customFormat="1" ht="34.5" customHeight="1" x14ac:dyDescent="0.3">
      <c r="A45" s="871" t="s">
        <v>186</v>
      </c>
      <c r="B45" s="12" t="s">
        <v>144</v>
      </c>
      <c r="C45" s="34" t="s">
        <v>284</v>
      </c>
      <c r="D45" s="234">
        <v>1</v>
      </c>
      <c r="E45" s="181">
        <v>1</v>
      </c>
      <c r="F45" s="235">
        <v>1</v>
      </c>
      <c r="G45" s="178">
        <v>1</v>
      </c>
      <c r="H45" s="178">
        <v>1</v>
      </c>
      <c r="I45" s="179">
        <v>0.99</v>
      </c>
      <c r="J45" s="179">
        <v>10</v>
      </c>
      <c r="K45" s="179">
        <v>1</v>
      </c>
      <c r="L45" s="179">
        <v>1</v>
      </c>
      <c r="M45" s="120">
        <v>1</v>
      </c>
      <c r="N45" s="120">
        <v>1</v>
      </c>
      <c r="O45" s="120">
        <v>1</v>
      </c>
    </row>
    <row r="46" spans="1:16" s="6" customFormat="1" ht="34.5" customHeight="1" x14ac:dyDescent="0.3">
      <c r="A46" s="872"/>
      <c r="B46" s="7" t="s">
        <v>147</v>
      </c>
      <c r="C46" s="34" t="s">
        <v>284</v>
      </c>
      <c r="D46" s="236">
        <v>1</v>
      </c>
      <c r="E46" s="183">
        <v>1</v>
      </c>
      <c r="F46" s="233">
        <v>1</v>
      </c>
      <c r="G46" s="179">
        <v>1</v>
      </c>
      <c r="H46" s="179">
        <v>1</v>
      </c>
      <c r="I46" s="179">
        <v>1</v>
      </c>
      <c r="J46" s="179">
        <v>1</v>
      </c>
      <c r="K46" s="179">
        <v>0.99</v>
      </c>
      <c r="L46" s="179">
        <v>1</v>
      </c>
      <c r="M46" s="120">
        <v>1</v>
      </c>
      <c r="N46" s="120">
        <v>1</v>
      </c>
      <c r="O46" s="120">
        <v>1</v>
      </c>
    </row>
    <row r="47" spans="1:16" s="6" customFormat="1" ht="34.5" customHeight="1" x14ac:dyDescent="0.3">
      <c r="A47" s="872"/>
      <c r="B47" s="7" t="s">
        <v>148</v>
      </c>
      <c r="C47" s="34" t="s">
        <v>285</v>
      </c>
      <c r="D47" s="236">
        <v>1</v>
      </c>
      <c r="E47" s="183">
        <v>1</v>
      </c>
      <c r="F47" s="233">
        <v>1</v>
      </c>
      <c r="G47" s="179">
        <v>1</v>
      </c>
      <c r="H47" s="179">
        <v>1</v>
      </c>
      <c r="I47" s="179">
        <v>1</v>
      </c>
      <c r="J47" s="179">
        <v>1</v>
      </c>
      <c r="K47" s="118">
        <v>1</v>
      </c>
      <c r="L47" s="118">
        <v>1</v>
      </c>
      <c r="M47" s="120">
        <v>1</v>
      </c>
      <c r="N47" s="120">
        <v>1</v>
      </c>
      <c r="O47" s="120">
        <v>1</v>
      </c>
    </row>
    <row r="48" spans="1:16" s="6" customFormat="1" ht="34.5" customHeight="1" x14ac:dyDescent="0.3">
      <c r="A48" s="872"/>
      <c r="B48" s="7" t="s">
        <v>149</v>
      </c>
      <c r="C48" s="34" t="s">
        <v>285</v>
      </c>
      <c r="D48" s="236">
        <v>1</v>
      </c>
      <c r="E48" s="183">
        <v>1</v>
      </c>
      <c r="F48" s="233">
        <v>1</v>
      </c>
      <c r="G48" s="179">
        <v>1</v>
      </c>
      <c r="H48" s="179">
        <v>1</v>
      </c>
      <c r="I48" s="179">
        <v>1</v>
      </c>
      <c r="J48" s="179">
        <v>1</v>
      </c>
      <c r="K48" s="118">
        <v>1</v>
      </c>
      <c r="L48" s="118">
        <v>1</v>
      </c>
      <c r="M48" s="120">
        <v>1</v>
      </c>
      <c r="N48" s="120">
        <v>1</v>
      </c>
      <c r="O48" s="120">
        <v>0.5</v>
      </c>
    </row>
    <row r="49" spans="1:15" s="6" customFormat="1" ht="34.5" customHeight="1" x14ac:dyDescent="0.3">
      <c r="A49" s="872"/>
      <c r="B49" s="7" t="s">
        <v>74</v>
      </c>
      <c r="C49" s="34" t="s">
        <v>285</v>
      </c>
      <c r="D49" s="236">
        <v>0.91</v>
      </c>
      <c r="E49" s="183">
        <v>0.82</v>
      </c>
      <c r="F49" s="233">
        <v>1</v>
      </c>
      <c r="G49" s="189">
        <v>1</v>
      </c>
      <c r="H49" s="189">
        <v>1</v>
      </c>
      <c r="I49" s="179">
        <v>1</v>
      </c>
      <c r="J49" s="179">
        <v>1</v>
      </c>
      <c r="K49" s="120">
        <v>1</v>
      </c>
      <c r="L49" s="120">
        <v>1</v>
      </c>
      <c r="M49" s="120">
        <v>1</v>
      </c>
      <c r="N49" s="120">
        <v>1</v>
      </c>
      <c r="O49" s="120">
        <v>1</v>
      </c>
    </row>
    <row r="50" spans="1:15" s="6" customFormat="1" ht="34.5" customHeight="1" x14ac:dyDescent="0.3">
      <c r="A50" s="872"/>
      <c r="B50" s="7" t="s">
        <v>150</v>
      </c>
      <c r="C50" s="34" t="s">
        <v>286</v>
      </c>
      <c r="D50" s="236">
        <v>1</v>
      </c>
      <c r="E50" s="183">
        <v>1</v>
      </c>
      <c r="F50" s="233">
        <v>1</v>
      </c>
      <c r="G50" s="179">
        <v>1</v>
      </c>
      <c r="H50" s="179">
        <v>1</v>
      </c>
      <c r="I50" s="179">
        <v>1</v>
      </c>
      <c r="J50" s="179">
        <v>1</v>
      </c>
      <c r="K50" s="120">
        <v>1</v>
      </c>
      <c r="L50" s="120">
        <v>1</v>
      </c>
      <c r="M50" s="120">
        <v>1</v>
      </c>
      <c r="N50" s="120">
        <v>1</v>
      </c>
      <c r="O50" s="120">
        <v>1</v>
      </c>
    </row>
    <row r="51" spans="1:15" s="6" customFormat="1" ht="34.5" customHeight="1" x14ac:dyDescent="0.3">
      <c r="A51" s="872"/>
      <c r="B51" s="7" t="s">
        <v>180</v>
      </c>
      <c r="C51" s="34" t="s">
        <v>286</v>
      </c>
      <c r="D51" s="236">
        <v>1</v>
      </c>
      <c r="E51" s="183">
        <v>1</v>
      </c>
      <c r="F51" s="233">
        <v>1</v>
      </c>
      <c r="G51" s="179">
        <v>1</v>
      </c>
      <c r="H51" s="179">
        <v>1</v>
      </c>
      <c r="I51" s="179">
        <v>1</v>
      </c>
      <c r="J51" s="179">
        <v>1</v>
      </c>
      <c r="K51" s="120">
        <v>1</v>
      </c>
      <c r="L51" s="120">
        <v>1</v>
      </c>
      <c r="M51" s="120">
        <v>1</v>
      </c>
      <c r="N51" s="120">
        <v>1</v>
      </c>
      <c r="O51" s="120">
        <v>1</v>
      </c>
    </row>
    <row r="52" spans="1:15" s="6" customFormat="1" ht="34.5" customHeight="1" x14ac:dyDescent="0.3">
      <c r="A52" s="872"/>
      <c r="B52" s="54" t="s">
        <v>151</v>
      </c>
      <c r="C52" s="35" t="s">
        <v>284</v>
      </c>
      <c r="D52" s="236">
        <v>0.98</v>
      </c>
      <c r="E52" s="183">
        <v>0.98</v>
      </c>
      <c r="F52" s="233">
        <v>0.98</v>
      </c>
      <c r="G52" s="179">
        <v>0.99</v>
      </c>
      <c r="H52" s="179">
        <v>0.9</v>
      </c>
      <c r="I52" s="180">
        <v>0.98</v>
      </c>
      <c r="J52" s="180">
        <v>0.99</v>
      </c>
      <c r="K52" s="120">
        <v>0.99</v>
      </c>
      <c r="L52" s="120">
        <v>1</v>
      </c>
      <c r="M52" s="120">
        <v>0.98</v>
      </c>
      <c r="N52" s="120">
        <v>0.99</v>
      </c>
      <c r="O52" s="120">
        <v>0.99</v>
      </c>
    </row>
    <row r="53" spans="1:15" s="6" customFormat="1" ht="34.5" customHeight="1" x14ac:dyDescent="0.3">
      <c r="A53" s="130"/>
      <c r="B53" s="5" t="s">
        <v>71</v>
      </c>
      <c r="C53" s="37" t="s">
        <v>287</v>
      </c>
      <c r="D53" s="241">
        <v>0.87</v>
      </c>
      <c r="E53" s="186">
        <v>0.73</v>
      </c>
      <c r="F53" s="242">
        <v>0.66</v>
      </c>
      <c r="G53" s="179">
        <v>0.78</v>
      </c>
      <c r="H53" s="179">
        <v>0.72</v>
      </c>
      <c r="I53" s="180">
        <v>0.77</v>
      </c>
      <c r="J53" s="180">
        <v>0.75</v>
      </c>
      <c r="K53" s="120">
        <v>0.77</v>
      </c>
      <c r="L53" s="120">
        <v>0.77</v>
      </c>
      <c r="M53" s="120">
        <v>0.77</v>
      </c>
      <c r="N53" s="120">
        <v>0.73</v>
      </c>
      <c r="O53" s="120">
        <v>0.75</v>
      </c>
    </row>
    <row r="54" spans="1:15" s="6" customFormat="1" ht="34.5" hidden="1" customHeight="1" x14ac:dyDescent="0.3">
      <c r="A54" s="130"/>
      <c r="B54" s="13" t="s">
        <v>21</v>
      </c>
      <c r="C54" s="230" t="s">
        <v>226</v>
      </c>
      <c r="D54" s="238">
        <v>1</v>
      </c>
      <c r="E54" s="239">
        <v>1</v>
      </c>
      <c r="F54" s="240">
        <v>1</v>
      </c>
      <c r="G54" s="291">
        <v>1</v>
      </c>
      <c r="H54" s="291">
        <v>1</v>
      </c>
      <c r="I54" s="180">
        <v>1</v>
      </c>
      <c r="J54" s="180">
        <v>1</v>
      </c>
      <c r="K54" s="120">
        <v>1</v>
      </c>
      <c r="L54" s="120">
        <v>1</v>
      </c>
      <c r="M54" s="120">
        <v>1</v>
      </c>
      <c r="N54" s="120">
        <v>1</v>
      </c>
      <c r="O54" s="120">
        <v>1</v>
      </c>
    </row>
    <row r="55" spans="1:15" s="6" customFormat="1" ht="34.5" customHeight="1" x14ac:dyDescent="0.3">
      <c r="A55" s="817" t="s">
        <v>185</v>
      </c>
      <c r="B55" s="12" t="s">
        <v>181</v>
      </c>
      <c r="C55" s="34" t="s">
        <v>284</v>
      </c>
      <c r="D55" s="236">
        <v>1</v>
      </c>
      <c r="E55" s="183">
        <v>1</v>
      </c>
      <c r="F55" s="233">
        <v>1</v>
      </c>
      <c r="G55" s="179">
        <v>1</v>
      </c>
      <c r="H55" s="179">
        <v>1</v>
      </c>
      <c r="I55" s="179">
        <v>0.99</v>
      </c>
      <c r="J55" s="179">
        <v>0.99</v>
      </c>
      <c r="K55" s="118">
        <v>0.99</v>
      </c>
      <c r="L55" s="118">
        <v>0.99</v>
      </c>
      <c r="M55" s="120">
        <v>0.99</v>
      </c>
      <c r="N55" s="120">
        <v>0.99</v>
      </c>
      <c r="O55" s="120">
        <v>1</v>
      </c>
    </row>
    <row r="56" spans="1:15" s="6" customFormat="1" ht="34.5" customHeight="1" x14ac:dyDescent="0.3">
      <c r="A56" s="818"/>
      <c r="B56" s="7" t="s">
        <v>182</v>
      </c>
      <c r="C56" s="34" t="s">
        <v>285</v>
      </c>
      <c r="D56" s="236">
        <v>0.98</v>
      </c>
      <c r="E56" s="183">
        <v>1</v>
      </c>
      <c r="F56" s="233">
        <v>0.99</v>
      </c>
      <c r="G56" s="179">
        <v>1</v>
      </c>
      <c r="H56" s="179">
        <v>1</v>
      </c>
      <c r="I56" s="179">
        <v>1</v>
      </c>
      <c r="J56" s="179">
        <v>1</v>
      </c>
      <c r="K56" s="118">
        <v>1</v>
      </c>
      <c r="L56" s="118">
        <v>1</v>
      </c>
      <c r="M56" s="120">
        <v>1</v>
      </c>
      <c r="N56" s="120">
        <v>1</v>
      </c>
      <c r="O56" s="120">
        <v>1</v>
      </c>
    </row>
    <row r="57" spans="1:15" s="6" customFormat="1" ht="34.5" customHeight="1" x14ac:dyDescent="0.3">
      <c r="A57" s="818"/>
      <c r="B57" s="7" t="s">
        <v>183</v>
      </c>
      <c r="C57" s="34" t="s">
        <v>285</v>
      </c>
      <c r="D57" s="236">
        <v>1</v>
      </c>
      <c r="E57" s="183">
        <v>1</v>
      </c>
      <c r="F57" s="233">
        <v>1</v>
      </c>
      <c r="G57" s="179">
        <v>1</v>
      </c>
      <c r="H57" s="179">
        <v>1</v>
      </c>
      <c r="I57" s="179">
        <v>1</v>
      </c>
      <c r="J57" s="179">
        <v>1</v>
      </c>
      <c r="K57" s="179">
        <v>1</v>
      </c>
      <c r="L57" s="179">
        <v>1</v>
      </c>
      <c r="M57" s="120">
        <v>1</v>
      </c>
      <c r="N57" s="120">
        <v>1</v>
      </c>
      <c r="O57" s="120">
        <v>1</v>
      </c>
    </row>
    <row r="58" spans="1:15" s="6" customFormat="1" ht="34.5" customHeight="1" x14ac:dyDescent="0.3">
      <c r="A58" s="818"/>
      <c r="B58" s="7" t="s">
        <v>184</v>
      </c>
      <c r="C58" s="34" t="s">
        <v>286</v>
      </c>
      <c r="D58" s="236">
        <v>1</v>
      </c>
      <c r="E58" s="183">
        <v>1</v>
      </c>
      <c r="F58" s="233">
        <v>1</v>
      </c>
      <c r="G58" s="179">
        <v>1</v>
      </c>
      <c r="H58" s="179">
        <v>1</v>
      </c>
      <c r="I58" s="179">
        <v>1</v>
      </c>
      <c r="J58" s="179">
        <v>1</v>
      </c>
      <c r="K58" s="179">
        <v>1</v>
      </c>
      <c r="L58" s="179">
        <v>1</v>
      </c>
      <c r="M58" s="120">
        <v>1</v>
      </c>
      <c r="N58" s="120">
        <v>1</v>
      </c>
      <c r="O58" s="120">
        <v>1</v>
      </c>
    </row>
    <row r="59" spans="1:15" s="6" customFormat="1" ht="34.5" customHeight="1" x14ac:dyDescent="0.3">
      <c r="A59" s="818"/>
      <c r="B59" s="7" t="s">
        <v>180</v>
      </c>
      <c r="C59" s="34" t="s">
        <v>286</v>
      </c>
      <c r="D59" s="236">
        <v>1</v>
      </c>
      <c r="E59" s="183">
        <v>1</v>
      </c>
      <c r="F59" s="233">
        <v>1</v>
      </c>
      <c r="G59" s="179">
        <v>1</v>
      </c>
      <c r="H59" s="179">
        <v>1</v>
      </c>
      <c r="I59" s="179">
        <v>0.8</v>
      </c>
      <c r="J59" s="179">
        <v>0.8</v>
      </c>
      <c r="K59" s="179">
        <v>1</v>
      </c>
      <c r="L59" s="179">
        <v>1</v>
      </c>
      <c r="M59" s="120">
        <v>1</v>
      </c>
      <c r="N59" s="120">
        <v>1</v>
      </c>
      <c r="O59" s="120">
        <v>1</v>
      </c>
    </row>
    <row r="60" spans="1:15" s="6" customFormat="1" ht="34.5" customHeight="1" x14ac:dyDescent="0.3">
      <c r="A60" s="818"/>
      <c r="B60" s="54" t="s">
        <v>151</v>
      </c>
      <c r="C60" s="35" t="s">
        <v>284</v>
      </c>
      <c r="D60" s="236">
        <v>1</v>
      </c>
      <c r="E60" s="183">
        <v>1</v>
      </c>
      <c r="F60" s="233">
        <v>1</v>
      </c>
      <c r="G60" s="179">
        <v>0.46</v>
      </c>
      <c r="H60" s="179">
        <v>0.78</v>
      </c>
      <c r="I60" s="179">
        <v>0.69</v>
      </c>
      <c r="J60" s="179">
        <v>0.86</v>
      </c>
      <c r="K60" s="179">
        <v>0.5</v>
      </c>
      <c r="L60" s="179">
        <v>0.56000000000000005</v>
      </c>
      <c r="M60" s="118">
        <v>0.49</v>
      </c>
      <c r="N60" s="118">
        <v>0.67</v>
      </c>
      <c r="O60" s="118">
        <v>0.68</v>
      </c>
    </row>
    <row r="61" spans="1:15" s="6" customFormat="1" ht="34.5" customHeight="1" x14ac:dyDescent="0.3">
      <c r="A61" s="818"/>
      <c r="B61" s="5" t="s">
        <v>71</v>
      </c>
      <c r="C61" s="37" t="s">
        <v>287</v>
      </c>
      <c r="D61" s="237"/>
      <c r="E61" s="183">
        <v>0.32</v>
      </c>
      <c r="F61" s="233">
        <v>0.68</v>
      </c>
      <c r="G61" s="179"/>
      <c r="H61" s="179"/>
      <c r="I61" s="179"/>
      <c r="J61" s="179"/>
      <c r="K61" s="179"/>
      <c r="L61" s="179"/>
      <c r="M61" s="28"/>
      <c r="N61" s="28"/>
      <c r="O61" s="306"/>
    </row>
    <row r="62" spans="1:15" s="6" customFormat="1" ht="34.5" hidden="1" customHeight="1" x14ac:dyDescent="0.3">
      <c r="A62" s="819"/>
      <c r="B62" s="8" t="s">
        <v>21</v>
      </c>
      <c r="C62" s="37" t="s">
        <v>226</v>
      </c>
      <c r="D62" s="185"/>
      <c r="E62" s="186"/>
      <c r="F62" s="186"/>
      <c r="G62" s="187"/>
      <c r="H62" s="187"/>
      <c r="I62" s="187"/>
      <c r="J62" s="187"/>
      <c r="K62" s="187"/>
      <c r="L62" s="187"/>
      <c r="M62" s="79"/>
      <c r="N62" s="79"/>
      <c r="O62" s="307"/>
    </row>
    <row r="63" spans="1:15" s="6" customFormat="1" ht="54" customHeight="1" x14ac:dyDescent="0.3">
      <c r="A63" s="817" t="s">
        <v>254</v>
      </c>
      <c r="B63" s="12" t="s">
        <v>260</v>
      </c>
      <c r="C63" s="76" t="s">
        <v>492</v>
      </c>
      <c r="D63" s="205"/>
      <c r="E63" s="119"/>
      <c r="F63" s="119"/>
      <c r="G63" s="270"/>
      <c r="H63" s="271"/>
      <c r="I63" s="272"/>
      <c r="J63" s="272"/>
      <c r="K63" s="272"/>
      <c r="L63" s="272"/>
      <c r="M63" s="273"/>
      <c r="N63" s="273"/>
      <c r="O63" s="274"/>
    </row>
    <row r="64" spans="1:15" s="6" customFormat="1" ht="46.5" customHeight="1" x14ac:dyDescent="0.3">
      <c r="A64" s="818"/>
      <c r="B64" s="5" t="s">
        <v>490</v>
      </c>
      <c r="C64" s="269" t="s">
        <v>491</v>
      </c>
      <c r="D64" s="294">
        <v>44</v>
      </c>
      <c r="E64" s="295">
        <v>29</v>
      </c>
      <c r="F64" s="295">
        <v>33</v>
      </c>
      <c r="G64" s="296"/>
      <c r="H64" s="297"/>
      <c r="I64" s="298">
        <v>21</v>
      </c>
      <c r="J64" s="298">
        <v>29</v>
      </c>
      <c r="K64" s="298">
        <v>29</v>
      </c>
      <c r="L64" s="298">
        <v>27</v>
      </c>
      <c r="M64" s="295">
        <v>23</v>
      </c>
      <c r="N64" s="295">
        <v>25</v>
      </c>
      <c r="O64" s="299">
        <v>20</v>
      </c>
    </row>
    <row r="65" spans="1:16" s="6" customFormat="1" ht="34.5" customHeight="1" x14ac:dyDescent="0.3">
      <c r="A65" s="818"/>
      <c r="B65" s="5" t="s">
        <v>262</v>
      </c>
      <c r="C65" s="77" t="s">
        <v>263</v>
      </c>
      <c r="D65" s="304">
        <v>0</v>
      </c>
      <c r="E65" s="28">
        <v>0</v>
      </c>
      <c r="F65" s="28">
        <v>0</v>
      </c>
      <c r="G65" s="28">
        <v>0</v>
      </c>
      <c r="H65" s="28">
        <v>0</v>
      </c>
      <c r="I65" s="28">
        <v>0</v>
      </c>
      <c r="J65" s="28">
        <v>0</v>
      </c>
      <c r="K65" s="28">
        <v>0</v>
      </c>
      <c r="L65" s="28">
        <v>0</v>
      </c>
      <c r="M65" s="28">
        <v>0</v>
      </c>
      <c r="N65" s="28">
        <v>0</v>
      </c>
      <c r="O65" s="28">
        <v>0</v>
      </c>
    </row>
    <row r="66" spans="1:16" s="6" customFormat="1" ht="34.5" customHeight="1" x14ac:dyDescent="0.3">
      <c r="A66" s="818"/>
      <c r="B66" s="5" t="s">
        <v>264</v>
      </c>
      <c r="C66" s="77" t="s">
        <v>90</v>
      </c>
      <c r="D66" s="206">
        <v>0.95</v>
      </c>
      <c r="E66" s="118">
        <v>0.9</v>
      </c>
      <c r="F66" s="118">
        <v>0.95</v>
      </c>
      <c r="G66" s="300">
        <v>0.8</v>
      </c>
      <c r="H66" s="184" t="s">
        <v>494</v>
      </c>
      <c r="I66" s="182" t="s">
        <v>495</v>
      </c>
      <c r="J66" s="182" t="s">
        <v>496</v>
      </c>
      <c r="K66" s="182" t="s">
        <v>497</v>
      </c>
      <c r="L66" s="182" t="s">
        <v>90</v>
      </c>
      <c r="M66" s="118">
        <v>0.87</v>
      </c>
      <c r="N66" s="118">
        <v>0.88</v>
      </c>
      <c r="O66" s="200">
        <v>0.93</v>
      </c>
    </row>
    <row r="67" spans="1:16" s="6" customFormat="1" ht="34.5" customHeight="1" x14ac:dyDescent="0.3">
      <c r="A67" s="819"/>
      <c r="B67" s="204" t="s">
        <v>265</v>
      </c>
      <c r="C67" s="305" t="s">
        <v>96</v>
      </c>
      <c r="D67" s="275">
        <v>1</v>
      </c>
      <c r="E67" s="275">
        <v>1</v>
      </c>
      <c r="F67" s="275">
        <v>1</v>
      </c>
      <c r="G67" s="275">
        <v>1</v>
      </c>
      <c r="H67" s="275">
        <v>1</v>
      </c>
      <c r="I67" s="275">
        <v>1</v>
      </c>
      <c r="J67" s="275">
        <v>1</v>
      </c>
      <c r="K67" s="275">
        <v>1</v>
      </c>
      <c r="L67" s="275">
        <v>1</v>
      </c>
      <c r="M67" s="275">
        <v>1</v>
      </c>
      <c r="N67" s="275">
        <v>1</v>
      </c>
      <c r="O67" s="275">
        <v>1</v>
      </c>
    </row>
    <row r="68" spans="1:16" s="6" customFormat="1" ht="34.5" customHeight="1" x14ac:dyDescent="0.3">
      <c r="A68" s="872" t="s">
        <v>253</v>
      </c>
      <c r="B68" s="12" t="s">
        <v>266</v>
      </c>
      <c r="C68" s="76" t="s">
        <v>270</v>
      </c>
      <c r="D68" s="210">
        <v>1.9444444444444445E-2</v>
      </c>
      <c r="E68" s="210">
        <v>1.3888888888888888E-2</v>
      </c>
      <c r="F68" s="210">
        <v>1.3888888888888888E-2</v>
      </c>
      <c r="G68" s="312"/>
      <c r="H68" s="312"/>
      <c r="I68" s="312"/>
      <c r="J68" s="312"/>
      <c r="K68" s="312">
        <v>2.3495370370370371E-2</v>
      </c>
      <c r="L68" s="312">
        <v>1.8368055555555554E-2</v>
      </c>
      <c r="M68" s="312">
        <v>2.7627314814814813E-2</v>
      </c>
      <c r="N68" s="312">
        <v>5.2314814814814814E-2</v>
      </c>
      <c r="O68" s="312">
        <v>3.3333333333333333E-2</v>
      </c>
    </row>
    <row r="69" spans="1:16" s="6" customFormat="1" ht="34.5" customHeight="1" x14ac:dyDescent="0.3">
      <c r="A69" s="872"/>
      <c r="B69" s="5" t="s">
        <v>267</v>
      </c>
      <c r="C69" s="77" t="s">
        <v>271</v>
      </c>
      <c r="D69" s="211">
        <v>1.1805555555555555E-2</v>
      </c>
      <c r="E69" s="211">
        <v>9.0277777777777787E-3</v>
      </c>
      <c r="F69" s="211">
        <v>1.1111111111111112E-2</v>
      </c>
      <c r="G69" s="313"/>
      <c r="H69" s="313"/>
      <c r="I69" s="313"/>
      <c r="J69" s="313"/>
      <c r="K69" s="313">
        <v>1.8113425925925925E-2</v>
      </c>
      <c r="L69" s="313">
        <v>1.480324074074074E-2</v>
      </c>
      <c r="M69" s="313">
        <v>1.2129629629629629E-2</v>
      </c>
      <c r="N69" s="313">
        <v>1.113425925925926E-2</v>
      </c>
      <c r="O69" s="313">
        <v>1.2997685185185183E-2</v>
      </c>
    </row>
    <row r="70" spans="1:16" s="6" customFormat="1" ht="34.5" customHeight="1" x14ac:dyDescent="0.3">
      <c r="A70" s="872"/>
      <c r="B70" s="5" t="s">
        <v>198</v>
      </c>
      <c r="C70" s="77" t="s">
        <v>227</v>
      </c>
      <c r="D70" s="163">
        <f>0/14553</f>
        <v>0</v>
      </c>
      <c r="E70" s="163">
        <f>1/12413</f>
        <v>8.0560702489325704E-5</v>
      </c>
      <c r="F70" s="163">
        <f>0/13569</f>
        <v>0</v>
      </c>
      <c r="G70" s="28">
        <v>0</v>
      </c>
      <c r="H70" s="28">
        <v>0</v>
      </c>
      <c r="I70" s="28">
        <v>0</v>
      </c>
      <c r="J70" s="28">
        <v>0</v>
      </c>
      <c r="K70" s="28">
        <v>0</v>
      </c>
      <c r="L70" s="28">
        <v>0</v>
      </c>
      <c r="M70" s="28">
        <v>0</v>
      </c>
      <c r="N70" s="28">
        <v>0</v>
      </c>
      <c r="O70" s="28">
        <v>0</v>
      </c>
    </row>
    <row r="71" spans="1:16" s="6" customFormat="1" ht="43.2" x14ac:dyDescent="0.3">
      <c r="A71" s="872"/>
      <c r="B71" s="209" t="s">
        <v>268</v>
      </c>
      <c r="C71" s="260" t="s">
        <v>201</v>
      </c>
      <c r="D71" s="207"/>
      <c r="E71" s="207"/>
      <c r="F71" s="207"/>
      <c r="G71" s="28"/>
      <c r="H71" s="28"/>
      <c r="I71" s="28"/>
      <c r="J71" s="28"/>
      <c r="K71" s="28"/>
      <c r="L71" s="28"/>
      <c r="M71" s="28"/>
      <c r="N71" s="28"/>
      <c r="O71" s="28"/>
    </row>
    <row r="72" spans="1:16" s="6" customFormat="1" ht="34.5" customHeight="1" x14ac:dyDescent="0.3">
      <c r="A72" s="889"/>
      <c r="B72" s="208" t="s">
        <v>269</v>
      </c>
      <c r="C72" s="78" t="s">
        <v>158</v>
      </c>
      <c r="D72" s="1003"/>
      <c r="E72" s="1003"/>
      <c r="F72" s="1003"/>
      <c r="G72" s="816"/>
      <c r="H72" s="802"/>
      <c r="I72" s="803"/>
      <c r="J72" s="816"/>
      <c r="K72" s="802"/>
      <c r="L72" s="803"/>
      <c r="M72" s="816"/>
      <c r="N72" s="802"/>
      <c r="O72" s="803"/>
    </row>
    <row r="73" spans="1:16" s="6" customFormat="1" ht="34.5" customHeight="1" x14ac:dyDescent="0.3">
      <c r="A73" s="871" t="s">
        <v>31</v>
      </c>
      <c r="B73" s="969" t="s">
        <v>32</v>
      </c>
      <c r="C73" s="76" t="s">
        <v>288</v>
      </c>
      <c r="D73" s="844"/>
      <c r="E73" s="844"/>
      <c r="F73" s="844"/>
      <c r="G73" s="844"/>
      <c r="H73" s="844"/>
      <c r="I73" s="844"/>
      <c r="J73" s="844" t="s">
        <v>499</v>
      </c>
      <c r="K73" s="844"/>
      <c r="L73" s="844"/>
      <c r="M73" s="844"/>
      <c r="N73" s="844"/>
      <c r="O73" s="845"/>
      <c r="P73" s="998" t="s">
        <v>290</v>
      </c>
    </row>
    <row r="74" spans="1:16" s="6" customFormat="1" ht="41.4" x14ac:dyDescent="0.3">
      <c r="A74" s="872"/>
      <c r="B74" s="972"/>
      <c r="C74" s="77" t="s">
        <v>289</v>
      </c>
      <c r="D74" s="844" t="s">
        <v>500</v>
      </c>
      <c r="E74" s="844"/>
      <c r="F74" s="844"/>
      <c r="G74" s="844"/>
      <c r="H74" s="844"/>
      <c r="I74" s="844"/>
      <c r="J74" s="844" t="s">
        <v>501</v>
      </c>
      <c r="K74" s="844"/>
      <c r="L74" s="844"/>
      <c r="M74" s="844"/>
      <c r="N74" s="844"/>
      <c r="O74" s="845"/>
      <c r="P74" s="998"/>
    </row>
    <row r="75" spans="1:16" s="6" customFormat="1" ht="34.5" customHeight="1" x14ac:dyDescent="0.3">
      <c r="A75" s="872"/>
      <c r="B75" s="5" t="s">
        <v>85</v>
      </c>
      <c r="C75" s="77" t="s">
        <v>127</v>
      </c>
      <c r="D75" s="924" t="s">
        <v>502</v>
      </c>
      <c r="E75" s="924"/>
      <c r="F75" s="924"/>
      <c r="G75" s="924"/>
      <c r="H75" s="924"/>
      <c r="I75" s="924"/>
      <c r="J75" s="924"/>
      <c r="K75" s="924"/>
      <c r="L75" s="924"/>
      <c r="M75" s="924"/>
      <c r="N75" s="924"/>
      <c r="O75" s="999"/>
      <c r="P75" s="126" t="s">
        <v>291</v>
      </c>
    </row>
    <row r="76" spans="1:16" s="6" customFormat="1" ht="34.5" customHeight="1" x14ac:dyDescent="0.3">
      <c r="A76" s="872"/>
      <c r="B76" s="5" t="s">
        <v>69</v>
      </c>
      <c r="C76" s="77" t="s">
        <v>96</v>
      </c>
      <c r="D76" s="1000">
        <f>+(0.995918367346939)*100%</f>
        <v>0.99591836734693895</v>
      </c>
      <c r="E76" s="1000"/>
      <c r="F76" s="1000"/>
      <c r="G76" s="1000"/>
      <c r="H76" s="1000"/>
      <c r="I76" s="1000"/>
      <c r="J76" s="1000"/>
      <c r="K76" s="1000"/>
      <c r="L76" s="1000"/>
      <c r="M76" s="1000"/>
      <c r="N76" s="1000"/>
      <c r="O76" s="1001"/>
    </row>
    <row r="77" spans="1:16" s="6" customFormat="1" ht="34.5" customHeight="1" x14ac:dyDescent="0.3">
      <c r="A77" s="872"/>
      <c r="B77" s="5" t="s">
        <v>33</v>
      </c>
      <c r="C77" s="77" t="s">
        <v>226</v>
      </c>
      <c r="D77" s="996">
        <v>0.18</v>
      </c>
      <c r="E77" s="996"/>
      <c r="F77" s="996"/>
      <c r="G77" s="996"/>
      <c r="H77" s="996"/>
      <c r="I77" s="996"/>
      <c r="J77" s="996"/>
      <c r="K77" s="996"/>
      <c r="L77" s="996"/>
      <c r="M77" s="996"/>
      <c r="N77" s="996"/>
      <c r="O77" s="1002"/>
    </row>
    <row r="78" spans="1:16" s="6" customFormat="1" ht="34.5" customHeight="1" x14ac:dyDescent="0.3">
      <c r="A78" s="889"/>
      <c r="B78" s="8" t="s">
        <v>252</v>
      </c>
      <c r="C78" s="87" t="s">
        <v>96</v>
      </c>
      <c r="D78" s="968">
        <v>1</v>
      </c>
      <c r="E78" s="836"/>
      <c r="F78" s="836"/>
      <c r="G78" s="836"/>
      <c r="H78" s="836"/>
      <c r="I78" s="836"/>
      <c r="J78" s="968">
        <v>1</v>
      </c>
      <c r="K78" s="836"/>
      <c r="L78" s="836"/>
      <c r="M78" s="836"/>
      <c r="N78" s="836"/>
      <c r="O78" s="836"/>
    </row>
    <row r="79" spans="1:16" s="6" customFormat="1" ht="34.5" customHeight="1" x14ac:dyDescent="0.3">
      <c r="A79" s="1016" t="s">
        <v>312</v>
      </c>
      <c r="B79" s="253" t="s">
        <v>307</v>
      </c>
      <c r="C79" s="36" t="s">
        <v>228</v>
      </c>
      <c r="D79" s="304">
        <v>0</v>
      </c>
      <c r="E79" s="28">
        <v>0</v>
      </c>
      <c r="F79" s="28">
        <v>0</v>
      </c>
      <c r="G79" s="28">
        <v>0</v>
      </c>
      <c r="H79" s="28">
        <v>0</v>
      </c>
      <c r="I79" s="28">
        <v>30</v>
      </c>
      <c r="J79" s="28">
        <v>0</v>
      </c>
      <c r="K79" s="28">
        <v>0</v>
      </c>
      <c r="L79" s="28">
        <v>0</v>
      </c>
      <c r="M79" s="28">
        <v>0</v>
      </c>
      <c r="N79" s="28">
        <v>0</v>
      </c>
      <c r="O79" s="306">
        <v>0</v>
      </c>
    </row>
    <row r="80" spans="1:16" s="6" customFormat="1" ht="34.5" customHeight="1" x14ac:dyDescent="0.3">
      <c r="A80" s="1017"/>
      <c r="B80" s="254" t="s">
        <v>308</v>
      </c>
      <c r="C80" s="162" t="s">
        <v>309</v>
      </c>
      <c r="D80" s="304">
        <v>3</v>
      </c>
      <c r="E80" s="28">
        <v>9</v>
      </c>
      <c r="F80" s="28">
        <v>10</v>
      </c>
      <c r="G80" s="28">
        <v>7</v>
      </c>
      <c r="H80" s="28">
        <v>8</v>
      </c>
      <c r="I80" s="28">
        <v>5</v>
      </c>
      <c r="J80" s="28">
        <v>3</v>
      </c>
      <c r="K80" s="28">
        <v>6</v>
      </c>
      <c r="L80" s="28">
        <v>4</v>
      </c>
      <c r="M80" s="28">
        <v>3</v>
      </c>
      <c r="N80" s="28">
        <v>3</v>
      </c>
      <c r="O80" s="306">
        <v>2</v>
      </c>
    </row>
    <row r="81" spans="1:16" s="6" customFormat="1" ht="34.5" customHeight="1" x14ac:dyDescent="0.3">
      <c r="A81" s="1017"/>
      <c r="B81" s="255" t="s">
        <v>310</v>
      </c>
      <c r="C81" s="162" t="s">
        <v>246</v>
      </c>
      <c r="D81" s="304">
        <v>2</v>
      </c>
      <c r="E81" s="28">
        <v>5</v>
      </c>
      <c r="F81" s="28">
        <v>4</v>
      </c>
      <c r="G81" s="28">
        <v>0</v>
      </c>
      <c r="H81" s="28">
        <v>0</v>
      </c>
      <c r="I81" s="28">
        <v>1</v>
      </c>
      <c r="J81" s="28">
        <v>3</v>
      </c>
      <c r="K81" s="28">
        <v>4</v>
      </c>
      <c r="L81" s="28">
        <v>2</v>
      </c>
      <c r="M81" s="28">
        <v>3</v>
      </c>
      <c r="N81" s="28">
        <v>3</v>
      </c>
      <c r="O81" s="306">
        <v>1</v>
      </c>
    </row>
    <row r="82" spans="1:16" s="6" customFormat="1" ht="34.5" customHeight="1" x14ac:dyDescent="0.3">
      <c r="A82" s="1017"/>
      <c r="B82" s="256" t="s">
        <v>311</v>
      </c>
      <c r="C82" s="242">
        <v>0.8</v>
      </c>
      <c r="D82" s="242">
        <v>0.74</v>
      </c>
      <c r="E82" s="242">
        <v>0.76</v>
      </c>
      <c r="F82" s="242">
        <v>0.8</v>
      </c>
      <c r="G82" s="242">
        <v>0.8</v>
      </c>
      <c r="H82" s="242">
        <v>0.8</v>
      </c>
      <c r="I82" s="242">
        <v>0.85</v>
      </c>
      <c r="J82" s="242">
        <v>0.86</v>
      </c>
      <c r="K82" s="242">
        <v>0.84</v>
      </c>
      <c r="L82" s="242">
        <v>0.82</v>
      </c>
      <c r="M82" s="242">
        <v>0.85</v>
      </c>
      <c r="N82" s="242">
        <v>0.89</v>
      </c>
      <c r="O82" s="242">
        <v>0.89</v>
      </c>
    </row>
    <row r="83" spans="1:16" s="6" customFormat="1" ht="34.5" customHeight="1" x14ac:dyDescent="0.3">
      <c r="A83" s="1018" t="s">
        <v>313</v>
      </c>
      <c r="B83" s="253" t="s">
        <v>307</v>
      </c>
      <c r="C83" s="36" t="s">
        <v>228</v>
      </c>
      <c r="D83" s="304">
        <v>0</v>
      </c>
      <c r="E83" s="28">
        <v>0</v>
      </c>
      <c r="F83" s="28">
        <v>0</v>
      </c>
      <c r="G83" s="28">
        <v>0</v>
      </c>
      <c r="H83" s="28">
        <v>0</v>
      </c>
      <c r="I83" s="28">
        <v>0</v>
      </c>
      <c r="J83" s="28">
        <v>0</v>
      </c>
      <c r="K83" s="28">
        <v>0</v>
      </c>
      <c r="L83" s="28">
        <v>0</v>
      </c>
      <c r="M83" s="28">
        <v>0</v>
      </c>
      <c r="N83" s="28">
        <v>0</v>
      </c>
      <c r="O83" s="306">
        <v>0</v>
      </c>
    </row>
    <row r="84" spans="1:16" s="6" customFormat="1" ht="34.5" customHeight="1" x14ac:dyDescent="0.3">
      <c r="A84" s="1019"/>
      <c r="B84" s="254" t="s">
        <v>308</v>
      </c>
      <c r="C84" s="162" t="s">
        <v>309</v>
      </c>
      <c r="D84" s="304">
        <v>5</v>
      </c>
      <c r="E84" s="28">
        <v>3</v>
      </c>
      <c r="F84" s="28">
        <v>1</v>
      </c>
      <c r="G84" s="28">
        <v>1</v>
      </c>
      <c r="H84" s="28">
        <v>0</v>
      </c>
      <c r="I84" s="28">
        <v>0</v>
      </c>
      <c r="J84" s="28">
        <v>3</v>
      </c>
      <c r="K84" s="28">
        <v>3</v>
      </c>
      <c r="L84" s="28">
        <v>1</v>
      </c>
      <c r="M84" s="28">
        <v>4</v>
      </c>
      <c r="N84" s="28">
        <v>2</v>
      </c>
      <c r="O84" s="306">
        <v>6</v>
      </c>
    </row>
    <row r="85" spans="1:16" s="6" customFormat="1" ht="34.5" customHeight="1" x14ac:dyDescent="0.3">
      <c r="A85" s="1020"/>
      <c r="B85" s="256" t="s">
        <v>310</v>
      </c>
      <c r="C85" s="257" t="s">
        <v>246</v>
      </c>
      <c r="D85" s="304">
        <v>4</v>
      </c>
      <c r="E85" s="28">
        <v>5</v>
      </c>
      <c r="F85" s="28">
        <v>2</v>
      </c>
      <c r="G85" s="28">
        <v>4</v>
      </c>
      <c r="H85" s="28">
        <v>3</v>
      </c>
      <c r="I85" s="28">
        <v>3</v>
      </c>
      <c r="J85" s="28">
        <v>5</v>
      </c>
      <c r="K85" s="28">
        <v>3</v>
      </c>
      <c r="L85" s="28">
        <v>3</v>
      </c>
      <c r="M85" s="28">
        <v>7</v>
      </c>
      <c r="N85" s="28">
        <v>4</v>
      </c>
      <c r="O85" s="306">
        <v>3</v>
      </c>
    </row>
    <row r="86" spans="1:16" s="6" customFormat="1" ht="34.5" customHeight="1" x14ac:dyDescent="0.3">
      <c r="A86" s="871" t="s">
        <v>1</v>
      </c>
      <c r="B86" s="12" t="s">
        <v>81</v>
      </c>
      <c r="C86" s="36" t="s">
        <v>130</v>
      </c>
      <c r="D86" s="800">
        <v>2</v>
      </c>
      <c r="E86" s="844"/>
      <c r="F86" s="844"/>
      <c r="G86" s="844">
        <v>2</v>
      </c>
      <c r="H86" s="844"/>
      <c r="I86" s="844"/>
      <c r="J86" s="844">
        <v>2</v>
      </c>
      <c r="K86" s="844"/>
      <c r="L86" s="844"/>
      <c r="M86" s="844">
        <v>2</v>
      </c>
      <c r="N86" s="844"/>
      <c r="O86" s="844"/>
    </row>
    <row r="87" spans="1:16" s="6" customFormat="1" ht="34.5" customHeight="1" x14ac:dyDescent="0.3">
      <c r="A87" s="872"/>
      <c r="B87" s="5" t="s">
        <v>193</v>
      </c>
      <c r="C87" s="34" t="s">
        <v>131</v>
      </c>
      <c r="D87" s="66">
        <v>0.9</v>
      </c>
      <c r="E87" s="67">
        <v>0.85</v>
      </c>
      <c r="F87" s="68">
        <v>0.9</v>
      </c>
      <c r="G87" s="67">
        <v>0.9</v>
      </c>
      <c r="H87" s="67">
        <v>0.9</v>
      </c>
      <c r="I87" s="67">
        <v>0.9</v>
      </c>
      <c r="J87" s="67">
        <v>0.9</v>
      </c>
      <c r="K87" s="68">
        <v>0.75</v>
      </c>
      <c r="L87" s="67">
        <v>0.75</v>
      </c>
      <c r="M87" s="301">
        <v>0.65</v>
      </c>
      <c r="N87" s="302">
        <v>0.6</v>
      </c>
      <c r="O87" s="302">
        <v>0.65</v>
      </c>
    </row>
    <row r="88" spans="1:16" s="6" customFormat="1" ht="34.5" customHeight="1" x14ac:dyDescent="0.3">
      <c r="A88" s="872"/>
      <c r="B88" s="5" t="s">
        <v>109</v>
      </c>
      <c r="C88" s="55" t="s">
        <v>132</v>
      </c>
      <c r="D88" s="813">
        <v>0</v>
      </c>
      <c r="E88" s="811"/>
      <c r="F88" s="811"/>
      <c r="G88" s="811"/>
      <c r="H88" s="811"/>
      <c r="I88" s="812"/>
      <c r="J88" s="810">
        <v>2</v>
      </c>
      <c r="K88" s="811"/>
      <c r="L88" s="811"/>
      <c r="M88" s="811"/>
      <c r="N88" s="811"/>
      <c r="O88" s="812"/>
    </row>
    <row r="89" spans="1:16" s="6" customFormat="1" ht="34.5" customHeight="1" x14ac:dyDescent="0.3">
      <c r="A89" s="889"/>
      <c r="B89" s="8" t="s">
        <v>110</v>
      </c>
      <c r="C89" s="37" t="s">
        <v>133</v>
      </c>
      <c r="D89" s="837">
        <v>0</v>
      </c>
      <c r="E89" s="802"/>
      <c r="F89" s="802"/>
      <c r="G89" s="802"/>
      <c r="H89" s="802"/>
      <c r="I89" s="803"/>
      <c r="J89" s="816">
        <v>0</v>
      </c>
      <c r="K89" s="802"/>
      <c r="L89" s="802"/>
      <c r="M89" s="802"/>
      <c r="N89" s="802"/>
      <c r="O89" s="803"/>
    </row>
    <row r="90" spans="1:16" s="6" customFormat="1" ht="34.5" customHeight="1" x14ac:dyDescent="0.3">
      <c r="A90" s="952" t="s">
        <v>56</v>
      </c>
      <c r="B90" s="1015" t="s">
        <v>301</v>
      </c>
      <c r="C90" s="170" t="s">
        <v>293</v>
      </c>
      <c r="D90" s="322">
        <v>1</v>
      </c>
      <c r="E90" s="323" t="s">
        <v>303</v>
      </c>
      <c r="F90" s="322">
        <v>1</v>
      </c>
      <c r="G90" s="323" t="s">
        <v>524</v>
      </c>
      <c r="H90" s="323" t="s">
        <v>524</v>
      </c>
      <c r="I90" s="323" t="s">
        <v>524</v>
      </c>
      <c r="J90" s="322">
        <v>1</v>
      </c>
      <c r="K90" s="323" t="s">
        <v>524</v>
      </c>
      <c r="L90" s="323" t="s">
        <v>524</v>
      </c>
      <c r="M90" s="323" t="s">
        <v>524</v>
      </c>
      <c r="N90" s="323" t="s">
        <v>524</v>
      </c>
      <c r="O90" s="323" t="s">
        <v>524</v>
      </c>
      <c r="P90" s="1004"/>
    </row>
    <row r="91" spans="1:16" s="6" customFormat="1" ht="34.5" customHeight="1" x14ac:dyDescent="0.3">
      <c r="A91" s="953"/>
      <c r="B91" s="1005"/>
      <c r="C91" s="93" t="s">
        <v>294</v>
      </c>
      <c r="D91" s="323" t="s">
        <v>303</v>
      </c>
      <c r="E91" s="324">
        <v>0.63</v>
      </c>
      <c r="F91" s="324">
        <v>0.75</v>
      </c>
      <c r="G91" s="322">
        <v>1</v>
      </c>
      <c r="H91" s="325">
        <v>0.33329999999999999</v>
      </c>
      <c r="I91" s="324">
        <v>0.75</v>
      </c>
      <c r="J91" s="324">
        <v>0.5</v>
      </c>
      <c r="K91" s="322">
        <v>1</v>
      </c>
      <c r="L91" s="324">
        <v>0.8</v>
      </c>
      <c r="M91" s="325">
        <v>0.77780000000000005</v>
      </c>
      <c r="N91" s="325">
        <v>0.72729999999999995</v>
      </c>
      <c r="O91" s="324">
        <v>0.5</v>
      </c>
      <c r="P91" s="1004"/>
    </row>
    <row r="92" spans="1:16" s="6" customFormat="1" ht="34.5" customHeight="1" x14ac:dyDescent="0.3">
      <c r="A92" s="953"/>
      <c r="B92" s="1005"/>
      <c r="C92" s="93" t="s">
        <v>295</v>
      </c>
      <c r="D92" s="324">
        <v>0.85</v>
      </c>
      <c r="E92" s="324">
        <v>0.8</v>
      </c>
      <c r="F92" s="324">
        <v>0.73</v>
      </c>
      <c r="G92" s="324">
        <v>0.95</v>
      </c>
      <c r="H92" s="325">
        <v>0.91959999999999997</v>
      </c>
      <c r="I92" s="325">
        <v>0.9667</v>
      </c>
      <c r="J92" s="325">
        <v>0.9375</v>
      </c>
      <c r="K92" s="325">
        <v>0.88949999999999996</v>
      </c>
      <c r="L92" s="325">
        <v>0.95920000000000005</v>
      </c>
      <c r="M92" s="325">
        <v>0.9667</v>
      </c>
      <c r="N92" s="322">
        <v>1</v>
      </c>
      <c r="O92" s="325">
        <v>0.9425</v>
      </c>
      <c r="P92" s="90"/>
    </row>
    <row r="93" spans="1:16" s="6" customFormat="1" ht="34.5" customHeight="1" x14ac:dyDescent="0.3">
      <c r="A93" s="953"/>
      <c r="B93" s="1005"/>
      <c r="C93" s="93" t="s">
        <v>296</v>
      </c>
      <c r="D93" s="324">
        <v>0.96</v>
      </c>
      <c r="E93" s="324">
        <v>0.95</v>
      </c>
      <c r="F93" s="324">
        <v>0.33</v>
      </c>
      <c r="G93" s="322">
        <v>1</v>
      </c>
      <c r="H93" s="325">
        <v>0.88890000000000002</v>
      </c>
      <c r="I93" s="326">
        <v>1</v>
      </c>
      <c r="J93" s="326">
        <v>1</v>
      </c>
      <c r="K93" s="326">
        <v>1</v>
      </c>
      <c r="L93" s="326">
        <v>1</v>
      </c>
      <c r="M93" s="326">
        <v>1</v>
      </c>
      <c r="N93" s="325">
        <v>0.97140000000000004</v>
      </c>
      <c r="O93" s="322">
        <v>1</v>
      </c>
      <c r="P93" s="90"/>
    </row>
    <row r="94" spans="1:16" s="6" customFormat="1" ht="34.5" customHeight="1" x14ac:dyDescent="0.3">
      <c r="A94" s="953"/>
      <c r="B94" s="1005" t="s">
        <v>302</v>
      </c>
      <c r="C94" s="93" t="s">
        <v>297</v>
      </c>
      <c r="D94" s="322">
        <v>1</v>
      </c>
      <c r="E94" s="323" t="s">
        <v>524</v>
      </c>
      <c r="F94" s="322">
        <v>1</v>
      </c>
      <c r="G94" s="323" t="s">
        <v>524</v>
      </c>
      <c r="H94" s="323" t="s">
        <v>524</v>
      </c>
      <c r="I94" s="323" t="s">
        <v>524</v>
      </c>
      <c r="J94" s="325">
        <v>0</v>
      </c>
      <c r="K94" s="323" t="s">
        <v>524</v>
      </c>
      <c r="L94" s="323" t="s">
        <v>524</v>
      </c>
      <c r="M94" s="323" t="s">
        <v>524</v>
      </c>
      <c r="N94" s="323" t="s">
        <v>524</v>
      </c>
      <c r="O94" s="323" t="s">
        <v>524</v>
      </c>
      <c r="P94" s="90"/>
    </row>
    <row r="95" spans="1:16" s="6" customFormat="1" ht="34.5" customHeight="1" x14ac:dyDescent="0.3">
      <c r="A95" s="953"/>
      <c r="B95" s="1005"/>
      <c r="C95" s="93" t="s">
        <v>298</v>
      </c>
      <c r="D95" s="323" t="s">
        <v>303</v>
      </c>
      <c r="E95" s="324">
        <v>0.63</v>
      </c>
      <c r="F95" s="324">
        <v>0.75</v>
      </c>
      <c r="G95" s="326">
        <v>1</v>
      </c>
      <c r="H95" s="325">
        <v>0.33329999999999999</v>
      </c>
      <c r="I95" s="325">
        <v>0.5</v>
      </c>
      <c r="J95" s="326">
        <v>1</v>
      </c>
      <c r="K95" s="325">
        <v>0.75</v>
      </c>
      <c r="L95" s="326">
        <v>1</v>
      </c>
      <c r="M95" s="326">
        <v>1</v>
      </c>
      <c r="N95" s="325">
        <v>0.71419999999999995</v>
      </c>
      <c r="O95" s="324">
        <v>0.5</v>
      </c>
      <c r="P95" s="90"/>
    </row>
    <row r="96" spans="1:16" s="6" customFormat="1" ht="34.5" customHeight="1" x14ac:dyDescent="0.3">
      <c r="A96" s="953"/>
      <c r="B96" s="1005"/>
      <c r="C96" s="93" t="s">
        <v>299</v>
      </c>
      <c r="D96" s="324">
        <v>0.85</v>
      </c>
      <c r="E96" s="324">
        <v>0.8</v>
      </c>
      <c r="F96" s="324">
        <v>0.73</v>
      </c>
      <c r="G96" s="325">
        <v>0.8</v>
      </c>
      <c r="H96" s="325">
        <v>0.72</v>
      </c>
      <c r="I96" s="325">
        <v>0.75</v>
      </c>
      <c r="J96" s="325">
        <v>0.77</v>
      </c>
      <c r="K96" s="325">
        <v>0.78</v>
      </c>
      <c r="L96" s="325">
        <v>0.74</v>
      </c>
      <c r="M96" s="325">
        <v>0.84</v>
      </c>
      <c r="N96" s="325">
        <v>0.89</v>
      </c>
      <c r="O96" s="325">
        <v>0.92</v>
      </c>
      <c r="P96" s="90"/>
    </row>
    <row r="97" spans="1:16" s="6" customFormat="1" ht="34.5" customHeight="1" x14ac:dyDescent="0.3">
      <c r="A97" s="953"/>
      <c r="B97" s="1005"/>
      <c r="C97" s="93" t="s">
        <v>300</v>
      </c>
      <c r="D97" s="324">
        <v>0.95</v>
      </c>
      <c r="E97" s="324">
        <v>0.95</v>
      </c>
      <c r="F97" s="324">
        <v>0.33</v>
      </c>
      <c r="G97" s="325">
        <v>0.67</v>
      </c>
      <c r="H97" s="325">
        <v>0.75</v>
      </c>
      <c r="I97" s="325">
        <v>0.86</v>
      </c>
      <c r="J97" s="326">
        <v>1</v>
      </c>
      <c r="K97" s="326">
        <v>1</v>
      </c>
      <c r="L97" s="326">
        <v>1</v>
      </c>
      <c r="M97" s="325">
        <v>0.92</v>
      </c>
      <c r="N97" s="324">
        <v>0.91</v>
      </c>
      <c r="O97" s="324">
        <v>0.96</v>
      </c>
      <c r="P97" s="90"/>
    </row>
    <row r="98" spans="1:16" s="6" customFormat="1" ht="34.5" customHeight="1" x14ac:dyDescent="0.3">
      <c r="A98" s="953"/>
      <c r="B98" s="5" t="s">
        <v>202</v>
      </c>
      <c r="C98" s="93">
        <v>0.99990000000000001</v>
      </c>
      <c r="D98" s="326">
        <v>0.99990000000000001</v>
      </c>
      <c r="E98" s="326">
        <v>1</v>
      </c>
      <c r="F98" s="326">
        <v>1</v>
      </c>
      <c r="G98" s="326">
        <v>1</v>
      </c>
      <c r="H98" s="326">
        <v>1</v>
      </c>
      <c r="I98" s="326">
        <v>1</v>
      </c>
      <c r="J98" s="326">
        <v>1</v>
      </c>
      <c r="K98" s="326">
        <v>1</v>
      </c>
      <c r="L98" s="326">
        <v>1</v>
      </c>
      <c r="M98" s="326">
        <v>1</v>
      </c>
      <c r="N98" s="326">
        <v>1</v>
      </c>
      <c r="O98" s="326">
        <v>1</v>
      </c>
      <c r="P98" s="90"/>
    </row>
    <row r="99" spans="1:16" s="6" customFormat="1" ht="34.5" customHeight="1" x14ac:dyDescent="0.3">
      <c r="A99" s="953"/>
      <c r="B99" s="5" t="s">
        <v>173</v>
      </c>
      <c r="C99" s="93">
        <v>0.99990000000000001</v>
      </c>
      <c r="D99" s="326">
        <v>1</v>
      </c>
      <c r="E99" s="326">
        <v>0.99990000000000001</v>
      </c>
      <c r="F99" s="326">
        <v>1</v>
      </c>
      <c r="G99" s="326">
        <v>1</v>
      </c>
      <c r="H99" s="326">
        <v>1</v>
      </c>
      <c r="I99" s="326">
        <v>1</v>
      </c>
      <c r="J99" s="326">
        <v>1</v>
      </c>
      <c r="K99" s="326">
        <v>1</v>
      </c>
      <c r="L99" s="326">
        <v>1</v>
      </c>
      <c r="M99" s="326">
        <v>1</v>
      </c>
      <c r="N99" s="326">
        <v>1</v>
      </c>
      <c r="O99" s="326">
        <v>1</v>
      </c>
      <c r="P99" s="90"/>
    </row>
    <row r="100" spans="1:16" s="6" customFormat="1" ht="34.5" customHeight="1" x14ac:dyDescent="0.3">
      <c r="A100" s="953"/>
      <c r="B100" s="5" t="s">
        <v>203</v>
      </c>
      <c r="C100" s="93">
        <v>0.99990000000000001</v>
      </c>
      <c r="D100" s="326">
        <v>0.99990000000000001</v>
      </c>
      <c r="E100" s="326">
        <v>1</v>
      </c>
      <c r="F100" s="326">
        <v>1</v>
      </c>
      <c r="G100" s="326">
        <v>1</v>
      </c>
      <c r="H100" s="326">
        <v>1</v>
      </c>
      <c r="I100" s="326">
        <v>1</v>
      </c>
      <c r="J100" s="326">
        <v>1</v>
      </c>
      <c r="K100" s="326">
        <v>1</v>
      </c>
      <c r="L100" s="326">
        <v>1</v>
      </c>
      <c r="M100" s="326">
        <v>1</v>
      </c>
      <c r="N100" s="326">
        <v>1</v>
      </c>
      <c r="O100" s="326">
        <v>1</v>
      </c>
      <c r="P100" s="90"/>
    </row>
    <row r="101" spans="1:16" s="6" customFormat="1" ht="34.5" customHeight="1" x14ac:dyDescent="0.3">
      <c r="A101" s="953"/>
      <c r="B101" s="5" t="s">
        <v>219</v>
      </c>
      <c r="C101" s="93">
        <v>0.99990000000000001</v>
      </c>
      <c r="D101" s="326">
        <v>0.99990000000000001</v>
      </c>
      <c r="E101" s="326">
        <v>1</v>
      </c>
      <c r="F101" s="326">
        <v>1</v>
      </c>
      <c r="G101" s="326">
        <v>1</v>
      </c>
      <c r="H101" s="326">
        <v>1</v>
      </c>
      <c r="I101" s="326">
        <v>0.99990000000000001</v>
      </c>
      <c r="J101" s="326">
        <v>1</v>
      </c>
      <c r="K101" s="327">
        <v>0.99929999999999997</v>
      </c>
      <c r="L101" s="326">
        <v>1</v>
      </c>
      <c r="M101" s="326">
        <v>1</v>
      </c>
      <c r="N101" s="326">
        <v>1</v>
      </c>
      <c r="O101" s="326">
        <v>1</v>
      </c>
      <c r="P101" s="90"/>
    </row>
    <row r="102" spans="1:16" s="6" customFormat="1" ht="34.5" customHeight="1" x14ac:dyDescent="0.3">
      <c r="A102" s="953"/>
      <c r="B102" s="5" t="s">
        <v>218</v>
      </c>
      <c r="C102" s="93">
        <v>0.99990000000000001</v>
      </c>
      <c r="D102" s="327">
        <v>0.99960000000000004</v>
      </c>
      <c r="E102" s="327">
        <v>0.99970000000000003</v>
      </c>
      <c r="F102" s="326">
        <v>0.99990000000000001</v>
      </c>
      <c r="G102" s="326">
        <v>0.99990000000000001</v>
      </c>
      <c r="H102" s="326">
        <v>0.99990000000000001</v>
      </c>
      <c r="I102" s="326">
        <v>1</v>
      </c>
      <c r="J102" s="327">
        <v>0.99429999999999996</v>
      </c>
      <c r="K102" s="326">
        <v>1</v>
      </c>
      <c r="L102" s="326">
        <v>1</v>
      </c>
      <c r="M102" s="326">
        <v>1</v>
      </c>
      <c r="N102" s="326">
        <v>1</v>
      </c>
      <c r="O102" s="326">
        <v>1</v>
      </c>
      <c r="P102" s="90"/>
    </row>
    <row r="103" spans="1:16" s="6" customFormat="1" ht="34.5" customHeight="1" x14ac:dyDescent="0.3">
      <c r="A103" s="953"/>
      <c r="B103" s="5" t="s">
        <v>174</v>
      </c>
      <c r="C103" s="93">
        <v>0.99990000000000001</v>
      </c>
      <c r="D103" s="326">
        <v>0.99990000000000001</v>
      </c>
      <c r="E103" s="326">
        <v>1</v>
      </c>
      <c r="F103" s="326">
        <v>1</v>
      </c>
      <c r="G103" s="326">
        <v>1</v>
      </c>
      <c r="H103" s="326">
        <v>1</v>
      </c>
      <c r="I103" s="326">
        <v>1</v>
      </c>
      <c r="J103" s="326">
        <v>1</v>
      </c>
      <c r="K103" s="326">
        <v>1</v>
      </c>
      <c r="L103" s="326">
        <v>1</v>
      </c>
      <c r="M103" s="326">
        <v>1</v>
      </c>
      <c r="N103" s="326">
        <v>1</v>
      </c>
      <c r="O103" s="326">
        <v>1</v>
      </c>
      <c r="P103" s="90"/>
    </row>
    <row r="104" spans="1:16" s="6" customFormat="1" ht="34.5" customHeight="1" x14ac:dyDescent="0.3">
      <c r="A104" s="989"/>
      <c r="B104" s="8" t="s">
        <v>204</v>
      </c>
      <c r="C104" s="172">
        <v>0.99990000000000001</v>
      </c>
      <c r="D104" s="326">
        <v>0.99990000000000001</v>
      </c>
      <c r="E104" s="326">
        <v>1</v>
      </c>
      <c r="F104" s="326">
        <v>1</v>
      </c>
      <c r="G104" s="326">
        <v>1</v>
      </c>
      <c r="H104" s="326">
        <v>1</v>
      </c>
      <c r="I104" s="326">
        <v>1</v>
      </c>
      <c r="J104" s="326">
        <v>1</v>
      </c>
      <c r="K104" s="326">
        <v>1</v>
      </c>
      <c r="L104" s="326">
        <v>1</v>
      </c>
      <c r="M104" s="326">
        <v>1</v>
      </c>
      <c r="N104" s="326">
        <v>1</v>
      </c>
      <c r="O104" s="326">
        <v>1</v>
      </c>
      <c r="P104" s="90"/>
    </row>
    <row r="105" spans="1:16" s="6" customFormat="1" ht="34.5" customHeight="1" x14ac:dyDescent="0.3">
      <c r="A105" s="871" t="s">
        <v>153</v>
      </c>
      <c r="B105" s="12" t="s">
        <v>230</v>
      </c>
      <c r="C105" s="36" t="s">
        <v>231</v>
      </c>
      <c r="D105" s="793" t="s">
        <v>275</v>
      </c>
      <c r="E105" s="794"/>
      <c r="F105" s="794"/>
      <c r="G105" s="794"/>
      <c r="H105" s="794"/>
      <c r="I105" s="794"/>
      <c r="J105" s="794"/>
      <c r="K105" s="794"/>
      <c r="L105" s="794"/>
      <c r="M105" s="794"/>
      <c r="N105" s="794"/>
      <c r="O105" s="800"/>
    </row>
    <row r="106" spans="1:16" s="6" customFormat="1" ht="34.5" customHeight="1" x14ac:dyDescent="0.3">
      <c r="A106" s="872"/>
      <c r="B106" s="7" t="s">
        <v>62</v>
      </c>
      <c r="C106" s="33" t="s">
        <v>66</v>
      </c>
      <c r="D106" s="855">
        <v>0.94</v>
      </c>
      <c r="E106" s="811"/>
      <c r="F106" s="812"/>
      <c r="G106" s="855">
        <v>0.95</v>
      </c>
      <c r="H106" s="811"/>
      <c r="I106" s="812"/>
      <c r="J106" s="820" t="s">
        <v>275</v>
      </c>
      <c r="K106" s="811"/>
      <c r="L106" s="812"/>
      <c r="M106" s="820">
        <v>1</v>
      </c>
      <c r="N106" s="811"/>
      <c r="O106" s="812"/>
      <c r="P106" s="164"/>
    </row>
    <row r="107" spans="1:16" s="6" customFormat="1" ht="34.5" customHeight="1" x14ac:dyDescent="0.3">
      <c r="A107" s="872"/>
      <c r="B107" s="7" t="s">
        <v>63</v>
      </c>
      <c r="C107" s="33" t="s">
        <v>67</v>
      </c>
      <c r="D107" s="962">
        <v>1</v>
      </c>
      <c r="E107" s="811"/>
      <c r="F107" s="811"/>
      <c r="G107" s="811"/>
      <c r="H107" s="811"/>
      <c r="I107" s="811"/>
      <c r="J107" s="811"/>
      <c r="K107" s="811"/>
      <c r="L107" s="811"/>
      <c r="M107" s="811"/>
      <c r="N107" s="811"/>
      <c r="O107" s="812"/>
    </row>
    <row r="108" spans="1:16" s="6" customFormat="1" ht="34.5" customHeight="1" x14ac:dyDescent="0.3">
      <c r="A108" s="871" t="s">
        <v>154</v>
      </c>
      <c r="B108" s="12" t="s">
        <v>155</v>
      </c>
      <c r="C108" s="311" t="s">
        <v>504</v>
      </c>
      <c r="D108" s="844">
        <v>3</v>
      </c>
      <c r="E108" s="844"/>
      <c r="F108" s="844"/>
      <c r="G108" s="844"/>
      <c r="H108" s="844"/>
      <c r="I108" s="844"/>
      <c r="J108" s="844"/>
      <c r="K108" s="844"/>
      <c r="L108" s="844"/>
      <c r="M108" s="844"/>
      <c r="N108" s="844"/>
      <c r="O108" s="844"/>
    </row>
    <row r="109" spans="1:16" s="6" customFormat="1" ht="43.2" x14ac:dyDescent="0.3">
      <c r="A109" s="872"/>
      <c r="B109" s="5" t="s">
        <v>156</v>
      </c>
      <c r="C109" s="77" t="s">
        <v>119</v>
      </c>
      <c r="D109" s="949">
        <v>0</v>
      </c>
      <c r="E109" s="950"/>
      <c r="F109" s="951"/>
      <c r="G109" s="949">
        <v>0</v>
      </c>
      <c r="H109" s="950"/>
      <c r="I109" s="951"/>
      <c r="J109" s="949">
        <v>0</v>
      </c>
      <c r="K109" s="950"/>
      <c r="L109" s="951"/>
      <c r="M109" s="949">
        <v>0</v>
      </c>
      <c r="N109" s="950"/>
      <c r="O109" s="951"/>
    </row>
    <row r="110" spans="1:16" s="6" customFormat="1" ht="43.2" x14ac:dyDescent="0.3">
      <c r="A110" s="889"/>
      <c r="B110" s="8" t="s">
        <v>157</v>
      </c>
      <c r="C110" s="87" t="s">
        <v>553</v>
      </c>
      <c r="D110" s="917">
        <v>0.87</v>
      </c>
      <c r="E110" s="802"/>
      <c r="F110" s="802"/>
      <c r="G110" s="802"/>
      <c r="H110" s="802"/>
      <c r="I110" s="802"/>
      <c r="J110" s="802"/>
      <c r="K110" s="802"/>
      <c r="L110" s="802"/>
      <c r="M110" s="802"/>
      <c r="N110" s="802"/>
      <c r="O110" s="803"/>
    </row>
    <row r="111" spans="1:16" ht="38.25" customHeight="1" x14ac:dyDescent="0.3">
      <c r="A111" s="303" t="s">
        <v>134</v>
      </c>
      <c r="B111" s="195" t="s">
        <v>259</v>
      </c>
      <c r="C111" s="76" t="s">
        <v>552</v>
      </c>
      <c r="D111" s="1012">
        <v>0.75</v>
      </c>
      <c r="E111" s="1013"/>
      <c r="F111" s="1013"/>
      <c r="G111" s="1013"/>
      <c r="H111" s="1013"/>
      <c r="I111" s="1013"/>
      <c r="J111" s="1013"/>
      <c r="K111" s="1013"/>
      <c r="L111" s="1013"/>
      <c r="M111" s="1013"/>
      <c r="N111" s="1013"/>
      <c r="O111" s="1014"/>
    </row>
    <row r="112" spans="1:16" ht="30.75" customHeight="1" x14ac:dyDescent="0.3"/>
    <row r="113" ht="30.75" customHeight="1" x14ac:dyDescent="0.3"/>
    <row r="114" ht="30.75" customHeight="1" x14ac:dyDescent="0.3"/>
    <row r="115" ht="30.75" customHeight="1" x14ac:dyDescent="0.3"/>
    <row r="116" ht="30.75" customHeight="1" x14ac:dyDescent="0.3"/>
    <row r="117" ht="30.75" customHeight="1" x14ac:dyDescent="0.3"/>
    <row r="118" ht="30.75" customHeight="1" x14ac:dyDescent="0.3"/>
    <row r="119" ht="30.75" customHeight="1" x14ac:dyDescent="0.3"/>
    <row r="120" ht="30.75" customHeight="1" x14ac:dyDescent="0.3"/>
    <row r="121" ht="30.75" customHeight="1" x14ac:dyDescent="0.3"/>
    <row r="122" ht="30.75" customHeight="1" x14ac:dyDescent="0.3"/>
    <row r="123" ht="30.75" customHeight="1" x14ac:dyDescent="0.3"/>
    <row r="124" ht="30.75" customHeight="1" x14ac:dyDescent="0.3"/>
    <row r="125" ht="30.75" customHeight="1" x14ac:dyDescent="0.3"/>
    <row r="126" ht="30.75" customHeight="1" x14ac:dyDescent="0.3"/>
    <row r="127" ht="30.75" customHeight="1" x14ac:dyDescent="0.3"/>
    <row r="128" ht="30.75" customHeight="1" x14ac:dyDescent="0.3"/>
    <row r="129" ht="30.75" customHeight="1" x14ac:dyDescent="0.3"/>
    <row r="130" ht="30.75" customHeight="1" x14ac:dyDescent="0.3"/>
    <row r="131" ht="30.75" customHeight="1" x14ac:dyDescent="0.3"/>
    <row r="132" ht="30.75" customHeight="1" x14ac:dyDescent="0.3"/>
    <row r="133" ht="30.75" customHeight="1" x14ac:dyDescent="0.3"/>
    <row r="134" ht="30.75" customHeight="1" x14ac:dyDescent="0.3"/>
    <row r="135" ht="30.75" customHeight="1" x14ac:dyDescent="0.3"/>
    <row r="136" ht="30.75" customHeight="1" x14ac:dyDescent="0.3"/>
    <row r="137" ht="30.75" customHeight="1" x14ac:dyDescent="0.3"/>
    <row r="138" ht="30.75" customHeight="1" x14ac:dyDescent="0.3"/>
    <row r="139" ht="30.75" customHeight="1" x14ac:dyDescent="0.3"/>
    <row r="140" ht="30.75" customHeight="1" x14ac:dyDescent="0.3"/>
    <row r="141" ht="30.75" customHeight="1" x14ac:dyDescent="0.3"/>
    <row r="142" ht="30.75" customHeight="1" x14ac:dyDescent="0.3"/>
    <row r="143" ht="30.75" customHeight="1" x14ac:dyDescent="0.3"/>
    <row r="144" ht="30.75" customHeight="1" x14ac:dyDescent="0.3"/>
    <row r="145" ht="30.75" customHeight="1" x14ac:dyDescent="0.3"/>
    <row r="146" ht="30.75" customHeight="1" x14ac:dyDescent="0.3"/>
    <row r="147" ht="30.75" customHeight="1" x14ac:dyDescent="0.3"/>
    <row r="148" ht="30.75" customHeight="1" x14ac:dyDescent="0.3"/>
    <row r="149" ht="30.75" customHeight="1" x14ac:dyDescent="0.3"/>
    <row r="150" ht="30.75" customHeight="1" x14ac:dyDescent="0.3"/>
    <row r="151" ht="30.75" customHeight="1" x14ac:dyDescent="0.3"/>
    <row r="152" ht="30.75" customHeight="1" x14ac:dyDescent="0.3"/>
    <row r="153" ht="30.75" customHeight="1" x14ac:dyDescent="0.3"/>
    <row r="154" ht="30.75" customHeight="1" x14ac:dyDescent="0.3"/>
    <row r="155" ht="30.75" customHeight="1" x14ac:dyDescent="0.3"/>
    <row r="156" ht="30.75" customHeight="1" x14ac:dyDescent="0.3"/>
    <row r="157" ht="30.75" customHeight="1" x14ac:dyDescent="0.3"/>
    <row r="158" ht="30.75" customHeight="1" x14ac:dyDescent="0.3"/>
    <row r="159" ht="30.75" customHeight="1" x14ac:dyDescent="0.3"/>
    <row r="160" ht="30.75" customHeight="1" x14ac:dyDescent="0.3"/>
    <row r="161" ht="30.75" customHeight="1" x14ac:dyDescent="0.3"/>
    <row r="162" ht="30.75" customHeight="1" x14ac:dyDescent="0.3"/>
    <row r="163" ht="30.75" customHeight="1" x14ac:dyDescent="0.3"/>
    <row r="164" ht="30.75" customHeight="1" x14ac:dyDescent="0.3"/>
    <row r="165" ht="30.75" customHeight="1" x14ac:dyDescent="0.3"/>
    <row r="166" ht="30.75" customHeight="1" x14ac:dyDescent="0.3"/>
    <row r="167" ht="30.75" customHeight="1" x14ac:dyDescent="0.3"/>
    <row r="168" ht="30.75" customHeight="1" x14ac:dyDescent="0.3"/>
    <row r="169" ht="30.75" customHeight="1" x14ac:dyDescent="0.3"/>
    <row r="170" ht="30.75" customHeight="1" x14ac:dyDescent="0.3"/>
    <row r="171" ht="30.75" customHeight="1" x14ac:dyDescent="0.3"/>
    <row r="172" ht="30.75" customHeight="1" x14ac:dyDescent="0.3"/>
    <row r="173" ht="30.75" customHeight="1" x14ac:dyDescent="0.3"/>
    <row r="174" ht="30.75" customHeight="1" x14ac:dyDescent="0.3"/>
    <row r="175" ht="30.75" customHeight="1" x14ac:dyDescent="0.3"/>
    <row r="176" ht="30.75" customHeight="1" x14ac:dyDescent="0.3"/>
    <row r="177" ht="30.75" customHeight="1" x14ac:dyDescent="0.3"/>
    <row r="178" ht="30.75" customHeight="1" x14ac:dyDescent="0.3"/>
    <row r="179" ht="30.75" customHeight="1" x14ac:dyDescent="0.3"/>
    <row r="180" ht="30.75" customHeight="1" x14ac:dyDescent="0.3"/>
    <row r="181" ht="30.75" customHeight="1" x14ac:dyDescent="0.3"/>
    <row r="182" ht="30.75" customHeight="1" x14ac:dyDescent="0.3"/>
    <row r="183" ht="30.75" customHeight="1" x14ac:dyDescent="0.3"/>
    <row r="184" ht="30.75" customHeight="1" x14ac:dyDescent="0.3"/>
    <row r="185" ht="30.75" customHeight="1" x14ac:dyDescent="0.3"/>
    <row r="186" ht="30.75" customHeight="1" x14ac:dyDescent="0.3"/>
    <row r="187" ht="30.75" customHeight="1" x14ac:dyDescent="0.3"/>
    <row r="188" ht="30.75" customHeight="1" x14ac:dyDescent="0.3"/>
    <row r="189" ht="30.75" customHeight="1" x14ac:dyDescent="0.3"/>
    <row r="190" ht="30.75" customHeight="1" x14ac:dyDescent="0.3"/>
    <row r="191" ht="30.75" customHeight="1" x14ac:dyDescent="0.3"/>
    <row r="192" ht="30.75" customHeight="1" x14ac:dyDescent="0.3"/>
    <row r="193" ht="30.75" customHeight="1" x14ac:dyDescent="0.3"/>
    <row r="194" ht="30.75" customHeight="1" x14ac:dyDescent="0.3"/>
    <row r="195" ht="30.75" customHeight="1" x14ac:dyDescent="0.3"/>
    <row r="196" ht="30.75" customHeight="1" x14ac:dyDescent="0.3"/>
    <row r="197" ht="30.75" customHeight="1" x14ac:dyDescent="0.3"/>
    <row r="198" ht="30.75" customHeight="1" x14ac:dyDescent="0.3"/>
    <row r="199" ht="30.75" customHeight="1" x14ac:dyDescent="0.3"/>
    <row r="200" ht="30.75" customHeight="1" x14ac:dyDescent="0.3"/>
    <row r="201" ht="30.75" customHeight="1" x14ac:dyDescent="0.3"/>
    <row r="202" ht="30.75" customHeight="1" x14ac:dyDescent="0.3"/>
    <row r="203" ht="30.75" customHeight="1" x14ac:dyDescent="0.3"/>
    <row r="204" ht="30.75" customHeight="1" x14ac:dyDescent="0.3"/>
    <row r="205" ht="30.75" customHeight="1" x14ac:dyDescent="0.3"/>
    <row r="206" ht="30.75" customHeight="1" x14ac:dyDescent="0.3"/>
    <row r="207" ht="30.75" customHeight="1" x14ac:dyDescent="0.3"/>
    <row r="208" ht="30.75" customHeight="1" x14ac:dyDescent="0.3"/>
    <row r="209" ht="30.75" customHeight="1" x14ac:dyDescent="0.3"/>
    <row r="210" ht="30.75" customHeight="1" x14ac:dyDescent="0.3"/>
    <row r="211" ht="30.75" customHeight="1" x14ac:dyDescent="0.3"/>
    <row r="212" ht="30.75" customHeight="1" x14ac:dyDescent="0.3"/>
    <row r="213" ht="30.75" customHeight="1" x14ac:dyDescent="0.3"/>
    <row r="214" ht="30.75" customHeight="1" x14ac:dyDescent="0.3"/>
    <row r="215" ht="30.75" customHeight="1" x14ac:dyDescent="0.3"/>
    <row r="216" ht="30.75" customHeight="1" x14ac:dyDescent="0.3"/>
    <row r="217" ht="30.75" customHeight="1" x14ac:dyDescent="0.3"/>
    <row r="218" ht="30.75" customHeight="1" x14ac:dyDescent="0.3"/>
    <row r="219" ht="30.75" customHeight="1" x14ac:dyDescent="0.3"/>
    <row r="220" ht="30.75" customHeight="1" x14ac:dyDescent="0.3"/>
    <row r="221" ht="30.75" customHeight="1" x14ac:dyDescent="0.3"/>
    <row r="222" ht="30.75" customHeight="1" x14ac:dyDescent="0.3"/>
    <row r="223" ht="30.75" customHeight="1" x14ac:dyDescent="0.3"/>
    <row r="224" ht="30.75" customHeight="1" x14ac:dyDescent="0.3"/>
    <row r="225" ht="30.75" customHeight="1" x14ac:dyDescent="0.3"/>
    <row r="226" ht="30.75" customHeight="1" x14ac:dyDescent="0.3"/>
    <row r="227" ht="30.75" customHeight="1" x14ac:dyDescent="0.3"/>
    <row r="228" ht="30.75" customHeight="1" x14ac:dyDescent="0.3"/>
    <row r="229" ht="30.75" customHeight="1" x14ac:dyDescent="0.3"/>
    <row r="230" ht="30.75" customHeight="1" x14ac:dyDescent="0.3"/>
    <row r="231" ht="30.75" customHeight="1" x14ac:dyDescent="0.3"/>
    <row r="232" ht="30.75" customHeight="1" x14ac:dyDescent="0.3"/>
    <row r="233" ht="30.75" customHeight="1" x14ac:dyDescent="0.3"/>
    <row r="234" ht="30.75" customHeight="1" x14ac:dyDescent="0.3"/>
    <row r="235" ht="30.75" customHeight="1" x14ac:dyDescent="0.3"/>
    <row r="236" ht="30.75" customHeight="1" x14ac:dyDescent="0.3"/>
    <row r="237" ht="30.75" customHeight="1" x14ac:dyDescent="0.3"/>
    <row r="238" ht="30.75" customHeight="1" x14ac:dyDescent="0.3"/>
    <row r="239" ht="30.75" customHeight="1" x14ac:dyDescent="0.3"/>
    <row r="240" ht="30.75" customHeight="1" x14ac:dyDescent="0.3"/>
    <row r="241" ht="30.75" customHeight="1" x14ac:dyDescent="0.3"/>
    <row r="242" ht="30.75" customHeight="1" x14ac:dyDescent="0.3"/>
    <row r="243" ht="48" customHeight="1" x14ac:dyDescent="0.3"/>
    <row r="244" ht="30.75" customHeight="1" x14ac:dyDescent="0.3"/>
    <row r="245" ht="30.75" customHeight="1" x14ac:dyDescent="0.3"/>
    <row r="246" ht="30.75" customHeight="1" x14ac:dyDescent="0.3"/>
    <row r="247" ht="39.75" customHeight="1" x14ac:dyDescent="0.3"/>
    <row r="248" ht="30.75" customHeight="1" x14ac:dyDescent="0.3"/>
    <row r="249" ht="30.75" customHeight="1" x14ac:dyDescent="0.3"/>
    <row r="250" ht="30.75" customHeight="1" x14ac:dyDescent="0.3"/>
    <row r="251" ht="30.75" customHeight="1" x14ac:dyDescent="0.3"/>
    <row r="252" ht="30.75" customHeight="1" x14ac:dyDescent="0.3"/>
    <row r="253" ht="30.75" customHeight="1" x14ac:dyDescent="0.3"/>
    <row r="254" ht="30.75" customHeight="1" x14ac:dyDescent="0.3"/>
    <row r="255" ht="41.25" customHeight="1" x14ac:dyDescent="0.3"/>
    <row r="256" ht="30.75" customHeight="1" x14ac:dyDescent="0.3"/>
    <row r="257" ht="30.75" customHeight="1" x14ac:dyDescent="0.3"/>
    <row r="258" ht="30.75" customHeight="1" x14ac:dyDescent="0.3"/>
    <row r="259" ht="30.75" customHeight="1" x14ac:dyDescent="0.3"/>
    <row r="260" ht="30.75" customHeight="1" x14ac:dyDescent="0.3"/>
    <row r="261" ht="30.75" customHeight="1" x14ac:dyDescent="0.3"/>
    <row r="262" ht="30.75" customHeight="1" x14ac:dyDescent="0.3"/>
    <row r="263" ht="30.75" customHeight="1" x14ac:dyDescent="0.3"/>
    <row r="264" ht="30.75" customHeight="1" x14ac:dyDescent="0.3"/>
    <row r="265" ht="30.75" customHeight="1" x14ac:dyDescent="0.3"/>
    <row r="266" ht="30.75" customHeight="1" x14ac:dyDescent="0.3"/>
    <row r="267" ht="30.75" customHeight="1" x14ac:dyDescent="0.3"/>
    <row r="268" ht="30.75" customHeight="1" x14ac:dyDescent="0.3"/>
    <row r="269" ht="30.75" customHeight="1" x14ac:dyDescent="0.3"/>
    <row r="270" ht="30.75" customHeight="1" x14ac:dyDescent="0.3"/>
    <row r="271" ht="30.75" customHeight="1" x14ac:dyDescent="0.3"/>
    <row r="272" ht="30.75" customHeight="1" x14ac:dyDescent="0.3"/>
    <row r="273" ht="30.75" customHeight="1" x14ac:dyDescent="0.3"/>
    <row r="274" ht="30.75" customHeight="1" x14ac:dyDescent="0.3"/>
    <row r="275" ht="30.75" customHeight="1" x14ac:dyDescent="0.3"/>
    <row r="276" ht="30.75" customHeight="1" x14ac:dyDescent="0.3"/>
    <row r="277" ht="30.75" customHeight="1" x14ac:dyDescent="0.3"/>
    <row r="278" ht="30.75" customHeight="1" x14ac:dyDescent="0.3"/>
    <row r="279" ht="30.75" customHeight="1" x14ac:dyDescent="0.3"/>
    <row r="280" ht="30.75" customHeight="1" x14ac:dyDescent="0.3"/>
    <row r="281" ht="30.75" customHeight="1" x14ac:dyDescent="0.3"/>
    <row r="282" ht="30.75" customHeight="1" x14ac:dyDescent="0.3"/>
    <row r="283" ht="30.75" customHeight="1" x14ac:dyDescent="0.3"/>
    <row r="284" ht="30.75" customHeight="1" x14ac:dyDescent="0.3"/>
    <row r="285" ht="30.75" customHeight="1" x14ac:dyDescent="0.3"/>
    <row r="286" ht="30.75" customHeight="1" x14ac:dyDescent="0.3"/>
    <row r="287" ht="30.75" customHeight="1" x14ac:dyDescent="0.3"/>
    <row r="288" ht="30.75" customHeight="1" x14ac:dyDescent="0.3"/>
    <row r="289" ht="30.75" customHeight="1" x14ac:dyDescent="0.3"/>
    <row r="290" ht="30.75" customHeight="1" x14ac:dyDescent="0.3"/>
    <row r="291" ht="30.75" customHeight="1" x14ac:dyDescent="0.3"/>
    <row r="292" ht="30.75" customHeight="1" x14ac:dyDescent="0.3"/>
    <row r="293" ht="30.75" customHeight="1" x14ac:dyDescent="0.3"/>
    <row r="294" ht="30.75" customHeight="1" x14ac:dyDescent="0.3"/>
    <row r="295" ht="30.75" customHeight="1" x14ac:dyDescent="0.3"/>
    <row r="296" ht="30.75" customHeight="1" x14ac:dyDescent="0.3"/>
    <row r="297" ht="30.75" customHeight="1" x14ac:dyDescent="0.3"/>
    <row r="298" ht="30.75" customHeight="1" x14ac:dyDescent="0.3"/>
    <row r="299" ht="30.75" customHeight="1" x14ac:dyDescent="0.3"/>
    <row r="300" ht="30.75" customHeight="1" x14ac:dyDescent="0.3"/>
    <row r="301" ht="30.75" customHeight="1" x14ac:dyDescent="0.3"/>
    <row r="302" ht="30.75" customHeight="1" x14ac:dyDescent="0.3"/>
    <row r="303" ht="30.75" customHeight="1" x14ac:dyDescent="0.3"/>
    <row r="304" ht="30.75" customHeight="1" x14ac:dyDescent="0.3"/>
    <row r="305" ht="30.75" customHeight="1" x14ac:dyDescent="0.3"/>
    <row r="306" ht="30.75" customHeight="1" x14ac:dyDescent="0.3"/>
    <row r="307" ht="30.75" customHeight="1" x14ac:dyDescent="0.3"/>
    <row r="308" ht="30.75" customHeight="1" x14ac:dyDescent="0.3"/>
    <row r="309" ht="30.75" customHeight="1" x14ac:dyDescent="0.3"/>
    <row r="310" ht="30.75" customHeight="1" x14ac:dyDescent="0.3"/>
    <row r="311" ht="30.75" customHeight="1" x14ac:dyDescent="0.3"/>
    <row r="312" ht="42.75" customHeight="1" x14ac:dyDescent="0.3"/>
    <row r="313" ht="30.75" customHeight="1" x14ac:dyDescent="0.3"/>
    <row r="314" ht="44.25" customHeight="1" x14ac:dyDescent="0.3"/>
    <row r="315" ht="30.75" customHeight="1" x14ac:dyDescent="0.3"/>
    <row r="316" ht="40.5" customHeight="1" x14ac:dyDescent="0.3"/>
    <row r="317" ht="39.75" customHeight="1" x14ac:dyDescent="0.3"/>
    <row r="318" ht="30.75" customHeight="1" x14ac:dyDescent="0.3"/>
    <row r="319" ht="30.75" customHeight="1" x14ac:dyDescent="0.3"/>
    <row r="320" ht="30.75" customHeight="1" x14ac:dyDescent="0.3"/>
    <row r="321" ht="30.75" customHeight="1" x14ac:dyDescent="0.3"/>
    <row r="322" ht="30.75" customHeight="1" x14ac:dyDescent="0.3"/>
    <row r="323" ht="30.75" customHeight="1" x14ac:dyDescent="0.3"/>
    <row r="324" ht="30.75" customHeight="1" x14ac:dyDescent="0.3"/>
    <row r="325" ht="30.75" customHeight="1" x14ac:dyDescent="0.3"/>
    <row r="326" ht="30.75" customHeight="1" x14ac:dyDescent="0.3"/>
    <row r="327" ht="45.75" customHeight="1" x14ac:dyDescent="0.3"/>
    <row r="328" ht="30.75" customHeight="1" x14ac:dyDescent="0.3"/>
    <row r="329" ht="30.75" customHeight="1" x14ac:dyDescent="0.3"/>
    <row r="330" ht="30.75" customHeight="1" x14ac:dyDescent="0.3"/>
    <row r="331" ht="42" customHeight="1" x14ac:dyDescent="0.3"/>
    <row r="332" ht="30.75" customHeight="1" x14ac:dyDescent="0.3"/>
    <row r="333" ht="30.75" customHeight="1" x14ac:dyDescent="0.3"/>
    <row r="334" ht="30.75" customHeight="1" x14ac:dyDescent="0.3"/>
  </sheetData>
  <mergeCells count="150">
    <mergeCell ref="D42:O42"/>
    <mergeCell ref="D43:O43"/>
    <mergeCell ref="D44:O44"/>
    <mergeCell ref="D111:O111"/>
    <mergeCell ref="D107:O107"/>
    <mergeCell ref="A108:A110"/>
    <mergeCell ref="D108:O108"/>
    <mergeCell ref="D109:F109"/>
    <mergeCell ref="G109:I109"/>
    <mergeCell ref="J109:L109"/>
    <mergeCell ref="M109:O109"/>
    <mergeCell ref="D110:O110"/>
    <mergeCell ref="A90:A104"/>
    <mergeCell ref="B90:B93"/>
    <mergeCell ref="A79:A82"/>
    <mergeCell ref="A83:A85"/>
    <mergeCell ref="A45:A52"/>
    <mergeCell ref="A55:A62"/>
    <mergeCell ref="A63:A67"/>
    <mergeCell ref="A42:A44"/>
    <mergeCell ref="P90:P91"/>
    <mergeCell ref="B94:B97"/>
    <mergeCell ref="A105:A107"/>
    <mergeCell ref="D105:O105"/>
    <mergeCell ref="D106:F106"/>
    <mergeCell ref="G106:I106"/>
    <mergeCell ref="J106:L106"/>
    <mergeCell ref="M106:O106"/>
    <mergeCell ref="J86:L86"/>
    <mergeCell ref="M86:O86"/>
    <mergeCell ref="D88:I88"/>
    <mergeCell ref="J88:O88"/>
    <mergeCell ref="D89:I89"/>
    <mergeCell ref="J89:O89"/>
    <mergeCell ref="A86:A89"/>
    <mergeCell ref="D86:F86"/>
    <mergeCell ref="G86:I86"/>
    <mergeCell ref="P73:P74"/>
    <mergeCell ref="D74:I74"/>
    <mergeCell ref="J74:O74"/>
    <mergeCell ref="D75:O75"/>
    <mergeCell ref="D76:O76"/>
    <mergeCell ref="D77:O77"/>
    <mergeCell ref="J72:L72"/>
    <mergeCell ref="M72:O72"/>
    <mergeCell ref="A73:A78"/>
    <mergeCell ref="B73:B74"/>
    <mergeCell ref="D73:I73"/>
    <mergeCell ref="J73:O73"/>
    <mergeCell ref="D78:I78"/>
    <mergeCell ref="J78:O78"/>
    <mergeCell ref="A68:A72"/>
    <mergeCell ref="D72:F72"/>
    <mergeCell ref="G72:I72"/>
    <mergeCell ref="G33:I33"/>
    <mergeCell ref="J33:L33"/>
    <mergeCell ref="M33:O33"/>
    <mergeCell ref="D34:F34"/>
    <mergeCell ref="D36:F36"/>
    <mergeCell ref="G36:I36"/>
    <mergeCell ref="J36:L36"/>
    <mergeCell ref="M36:O36"/>
    <mergeCell ref="D37:F37"/>
    <mergeCell ref="G37:I37"/>
    <mergeCell ref="J37:L37"/>
    <mergeCell ref="M37:O37"/>
    <mergeCell ref="G34:I34"/>
    <mergeCell ref="J34:L34"/>
    <mergeCell ref="M34:O34"/>
    <mergeCell ref="D35:F35"/>
    <mergeCell ref="G35:I35"/>
    <mergeCell ref="J35:L35"/>
    <mergeCell ref="M35:O35"/>
    <mergeCell ref="G40:I40"/>
    <mergeCell ref="J40:L40"/>
    <mergeCell ref="M40:O40"/>
    <mergeCell ref="D41:F41"/>
    <mergeCell ref="G41:I41"/>
    <mergeCell ref="J41:L41"/>
    <mergeCell ref="M41:O41"/>
    <mergeCell ref="A38:A41"/>
    <mergeCell ref="D38:F38"/>
    <mergeCell ref="G38:I38"/>
    <mergeCell ref="J38:L38"/>
    <mergeCell ref="M38:O38"/>
    <mergeCell ref="D39:F39"/>
    <mergeCell ref="G39:I39"/>
    <mergeCell ref="J39:L39"/>
    <mergeCell ref="M39:O39"/>
    <mergeCell ref="D40:F40"/>
    <mergeCell ref="J26:L26"/>
    <mergeCell ref="M26:O26"/>
    <mergeCell ref="A27:A31"/>
    <mergeCell ref="D29:I29"/>
    <mergeCell ref="J29:O29"/>
    <mergeCell ref="D30:O30"/>
    <mergeCell ref="D31:O31"/>
    <mergeCell ref="A20:A23"/>
    <mergeCell ref="A24:A26"/>
    <mergeCell ref="D24:F24"/>
    <mergeCell ref="G24:I24"/>
    <mergeCell ref="J24:L24"/>
    <mergeCell ref="M24:O24"/>
    <mergeCell ref="D25:I25"/>
    <mergeCell ref="J25:O25"/>
    <mergeCell ref="D26:F26"/>
    <mergeCell ref="G26:I26"/>
    <mergeCell ref="A32:A37"/>
    <mergeCell ref="D32:F32"/>
    <mergeCell ref="G32:I32"/>
    <mergeCell ref="J32:L32"/>
    <mergeCell ref="M32:O32"/>
    <mergeCell ref="D33:F33"/>
    <mergeCell ref="D10:O10"/>
    <mergeCell ref="A11:A15"/>
    <mergeCell ref="A16:A19"/>
    <mergeCell ref="D16:F16"/>
    <mergeCell ref="G16:I16"/>
    <mergeCell ref="J16:L16"/>
    <mergeCell ref="M16:O16"/>
    <mergeCell ref="D17:F17"/>
    <mergeCell ref="G17:I17"/>
    <mergeCell ref="J17:L17"/>
    <mergeCell ref="A7:A10"/>
    <mergeCell ref="M17:O17"/>
    <mergeCell ref="D18:F18"/>
    <mergeCell ref="G18:I18"/>
    <mergeCell ref="J18:L18"/>
    <mergeCell ref="M18:O18"/>
    <mergeCell ref="D19:F19"/>
    <mergeCell ref="G19:I19"/>
    <mergeCell ref="J19:L19"/>
    <mergeCell ref="M19:O19"/>
    <mergeCell ref="D8:F8"/>
    <mergeCell ref="G8:I8"/>
    <mergeCell ref="J8:L8"/>
    <mergeCell ref="M8:O8"/>
    <mergeCell ref="D9:F9"/>
    <mergeCell ref="G9:I9"/>
    <mergeCell ref="J9:L9"/>
    <mergeCell ref="M9:O9"/>
    <mergeCell ref="E3:F3"/>
    <mergeCell ref="D5:F5"/>
    <mergeCell ref="G5:I5"/>
    <mergeCell ref="J5:L5"/>
    <mergeCell ref="M5:O5"/>
    <mergeCell ref="D7:F7"/>
    <mergeCell ref="G7:I7"/>
    <mergeCell ref="J7:L7"/>
    <mergeCell ref="M7:O7"/>
  </mergeCells>
  <conditionalFormatting sqref="D11:O11">
    <cfRule type="cellIs" dxfId="9" priority="1" operator="greaterThan">
      <formula>0.8</formula>
    </cfRule>
    <cfRule type="cellIs" dxfId="8" priority="2" operator="lessThan">
      <formula>0.8</formula>
    </cfRule>
  </conditionalFormatting>
  <conditionalFormatting sqref="D12:O12">
    <cfRule type="cellIs" dxfId="7" priority="4" operator="greaterThan">
      <formula>0.99</formula>
    </cfRule>
    <cfRule type="cellIs" dxfId="6" priority="6" operator="lessThan">
      <formula>0.99</formula>
    </cfRule>
  </conditionalFormatting>
  <conditionalFormatting sqref="D13:O13">
    <cfRule type="cellIs" dxfId="5" priority="3" operator="greaterThan">
      <formula>0.95</formula>
    </cfRule>
    <cfRule type="cellIs" dxfId="4" priority="5" operator="lessThan">
      <formula>0.95</formula>
    </cfRule>
  </conditionalFormatting>
  <conditionalFormatting sqref="D14:O14">
    <cfRule type="cellIs" dxfId="3" priority="19" operator="greaterThan">
      <formula>0.8</formula>
    </cfRule>
    <cfRule type="cellIs" dxfId="2" priority="20" operator="lessThan">
      <formula>0.8</formula>
    </cfRule>
  </conditionalFormatting>
  <conditionalFormatting sqref="D15:O15">
    <cfRule type="cellIs" dxfId="1" priority="15" operator="lessThan">
      <formula>0.99</formula>
    </cfRule>
    <cfRule type="cellIs" dxfId="0" priority="16" operator="greaterThan">
      <formula>0.99</formula>
    </cfRule>
  </conditionalFormatting>
  <hyperlinks>
    <hyperlink ref="B36" r:id="rId1" display="C:\Users\00209\Desktop\MGT-ENR-001 Rapport de revue de processus-CDF 100221.docx"/>
  </hyperlinks>
  <pageMargins left="0.31496062992125984" right="0.31496062992125984" top="0.35433070866141736" bottom="0.35433070866141736" header="0.31496062992125984" footer="0.19685039370078741"/>
  <pageSetup paperSize="9" scale="37" fitToHeight="0" orientation="portrait" r:id="rId2"/>
  <headerFooter>
    <oddFooter>&amp;C&amp;9&amp;K00-048&amp;P / &amp;N</oddFooter>
  </headerFooter>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5">
    <pageSetUpPr fitToPage="1"/>
  </sheetPr>
  <dimension ref="A1:S306"/>
  <sheetViews>
    <sheetView showGridLines="0" zoomScale="69" zoomScaleNormal="69" workbookViewId="0">
      <pane xSplit="4" ySplit="6" topLeftCell="E55" activePane="bottomRight" state="frozen"/>
      <selection pane="topRight" activeCell="D1" sqref="D1"/>
      <selection pane="bottomLeft" activeCell="A7" sqref="A7"/>
      <selection pane="bottomRight" activeCell="F56" sqref="F56:Q56"/>
    </sheetView>
  </sheetViews>
  <sheetFormatPr baseColWidth="10" defaultRowHeight="14.4" x14ac:dyDescent="0.3"/>
  <cols>
    <col min="1" max="1" width="23.5546875" customWidth="1"/>
    <col min="2" max="2" width="47.88671875" customWidth="1"/>
    <col min="3" max="3" width="47.88671875" style="116" customWidth="1"/>
    <col min="4" max="4" width="26" bestFit="1" customWidth="1"/>
    <col min="5" max="5" width="16.44140625" bestFit="1" customWidth="1"/>
    <col min="6" max="7" width="16" customWidth="1"/>
    <col min="8" max="12" width="15.88671875" customWidth="1"/>
    <col min="13" max="14" width="15.88671875" style="116" customWidth="1"/>
    <col min="15" max="15" width="15.88671875" customWidth="1"/>
    <col min="16" max="17" width="16" customWidth="1"/>
    <col min="18" max="18" width="57" hidden="1" customWidth="1"/>
  </cols>
  <sheetData>
    <row r="1" spans="1:17" ht="15.6" x14ac:dyDescent="0.3">
      <c r="A1" s="1"/>
      <c r="B1" s="1"/>
      <c r="C1" s="115"/>
      <c r="D1" s="3"/>
      <c r="E1" s="3"/>
      <c r="F1" s="3"/>
      <c r="G1" s="3" t="s">
        <v>368</v>
      </c>
      <c r="H1" s="4"/>
      <c r="I1" s="143"/>
      <c r="O1" s="39" t="s">
        <v>137</v>
      </c>
    </row>
    <row r="2" spans="1:17" x14ac:dyDescent="0.3">
      <c r="A2" s="1"/>
      <c r="B2" s="1"/>
      <c r="C2" s="115"/>
      <c r="D2" s="1"/>
      <c r="E2" s="1"/>
      <c r="F2" s="1"/>
      <c r="G2" s="1"/>
      <c r="H2" s="1"/>
    </row>
    <row r="3" spans="1:17" x14ac:dyDescent="0.3">
      <c r="A3" s="1"/>
      <c r="B3" s="1"/>
      <c r="C3" s="115"/>
      <c r="D3" s="1"/>
      <c r="E3" s="1"/>
      <c r="F3" s="2" t="s">
        <v>65</v>
      </c>
      <c r="G3" s="854">
        <v>45089</v>
      </c>
      <c r="H3" s="854"/>
    </row>
    <row r="4" spans="1:17" x14ac:dyDescent="0.3">
      <c r="A4" s="1"/>
      <c r="B4" s="1"/>
      <c r="C4" s="115"/>
      <c r="D4" s="1"/>
      <c r="E4" s="1"/>
      <c r="F4" s="1"/>
      <c r="G4" s="1"/>
      <c r="H4" s="1"/>
    </row>
    <row r="5" spans="1:17" x14ac:dyDescent="0.3">
      <c r="A5" s="368"/>
      <c r="B5" s="369"/>
      <c r="C5" s="370"/>
      <c r="D5" s="369"/>
      <c r="E5" s="369"/>
      <c r="F5" s="940" t="s">
        <v>24</v>
      </c>
      <c r="G5" s="941"/>
      <c r="H5" s="942"/>
      <c r="I5" s="943" t="s">
        <v>25</v>
      </c>
      <c r="J5" s="941"/>
      <c r="K5" s="942"/>
      <c r="L5" s="943" t="s">
        <v>26</v>
      </c>
      <c r="M5" s="941"/>
      <c r="N5" s="942"/>
      <c r="O5" s="943" t="s">
        <v>27</v>
      </c>
      <c r="P5" s="941"/>
      <c r="Q5" s="944"/>
    </row>
    <row r="6" spans="1:17" s="6" customFormat="1" ht="30" customHeight="1" x14ac:dyDescent="0.3">
      <c r="A6" s="371" t="s">
        <v>0</v>
      </c>
      <c r="B6" s="105" t="s">
        <v>16</v>
      </c>
      <c r="C6" s="105" t="s">
        <v>15</v>
      </c>
      <c r="D6" s="106" t="s">
        <v>324</v>
      </c>
      <c r="E6" s="310" t="s">
        <v>503</v>
      </c>
      <c r="F6" s="107" t="s">
        <v>3</v>
      </c>
      <c r="G6" s="108" t="s">
        <v>4</v>
      </c>
      <c r="H6" s="108" t="s">
        <v>5</v>
      </c>
      <c r="I6" s="108" t="s">
        <v>6</v>
      </c>
      <c r="J6" s="108" t="s">
        <v>7</v>
      </c>
      <c r="K6" s="108" t="s">
        <v>8</v>
      </c>
      <c r="L6" s="108" t="s">
        <v>9</v>
      </c>
      <c r="M6" s="108" t="s">
        <v>10</v>
      </c>
      <c r="N6" s="108" t="s">
        <v>11</v>
      </c>
      <c r="O6" s="108" t="s">
        <v>12</v>
      </c>
      <c r="P6" s="108" t="s">
        <v>13</v>
      </c>
      <c r="Q6" s="372" t="s">
        <v>14</v>
      </c>
    </row>
    <row r="7" spans="1:17" s="6" customFormat="1" ht="45" customHeight="1" x14ac:dyDescent="0.3">
      <c r="A7" s="817" t="s">
        <v>22</v>
      </c>
      <c r="B7" s="12" t="s">
        <v>331</v>
      </c>
      <c r="C7" s="12" t="s">
        <v>224</v>
      </c>
      <c r="D7" s="348" t="s">
        <v>334</v>
      </c>
      <c r="E7" s="349" t="s">
        <v>508</v>
      </c>
      <c r="F7" s="1033">
        <v>0.86</v>
      </c>
      <c r="G7" s="1033"/>
      <c r="H7" s="1033"/>
      <c r="I7" s="1033"/>
      <c r="J7" s="1033"/>
      <c r="K7" s="1033"/>
      <c r="L7" s="1033"/>
      <c r="M7" s="1033"/>
      <c r="N7" s="1033"/>
      <c r="O7" s="1033"/>
      <c r="P7" s="1033"/>
      <c r="Q7" s="1034"/>
    </row>
    <row r="8" spans="1:17" s="6" customFormat="1" ht="45" customHeight="1" x14ac:dyDescent="0.3">
      <c r="A8" s="818"/>
      <c r="B8" s="7" t="s">
        <v>332</v>
      </c>
      <c r="C8" s="7" t="s">
        <v>335</v>
      </c>
      <c r="D8" s="336" t="s">
        <v>336</v>
      </c>
      <c r="E8" s="350" t="s">
        <v>512</v>
      </c>
      <c r="F8" s="1026" t="s">
        <v>541</v>
      </c>
      <c r="G8" s="1027"/>
      <c r="H8" s="1027"/>
      <c r="I8" s="1028" t="s">
        <v>541</v>
      </c>
      <c r="J8" s="1028"/>
      <c r="K8" s="1028"/>
      <c r="L8" s="1028" t="s">
        <v>590</v>
      </c>
      <c r="M8" s="1028"/>
      <c r="N8" s="1028"/>
      <c r="O8" s="1028" t="s">
        <v>591</v>
      </c>
      <c r="P8" s="1028"/>
      <c r="Q8" s="1029"/>
    </row>
    <row r="9" spans="1:17" s="6" customFormat="1" ht="45" customHeight="1" x14ac:dyDescent="0.3">
      <c r="A9" s="819"/>
      <c r="B9" s="8" t="s">
        <v>333</v>
      </c>
      <c r="C9" s="8" t="s">
        <v>337</v>
      </c>
      <c r="D9" s="373" t="s">
        <v>338</v>
      </c>
      <c r="E9" s="374" t="s">
        <v>512</v>
      </c>
      <c r="F9" s="1030" t="s">
        <v>542</v>
      </c>
      <c r="G9" s="1031"/>
      <c r="H9" s="1031"/>
      <c r="I9" s="1032" t="s">
        <v>592</v>
      </c>
      <c r="J9" s="1032"/>
      <c r="K9" s="1032"/>
      <c r="L9" s="1032" t="s">
        <v>593</v>
      </c>
      <c r="M9" s="1032"/>
      <c r="N9" s="1032"/>
      <c r="O9" s="1032" t="s">
        <v>594</v>
      </c>
      <c r="P9" s="1032"/>
      <c r="Q9" s="1045"/>
    </row>
    <row r="10" spans="1:17" s="6" customFormat="1" ht="50.25" customHeight="1" x14ac:dyDescent="0.3">
      <c r="A10" s="817" t="s">
        <v>57</v>
      </c>
      <c r="B10" s="12" t="s">
        <v>339</v>
      </c>
      <c r="C10" s="12" t="s">
        <v>340</v>
      </c>
      <c r="D10" s="170" t="s">
        <v>341</v>
      </c>
      <c r="E10" s="351" t="s">
        <v>519</v>
      </c>
      <c r="F10" s="397">
        <v>0.76</v>
      </c>
      <c r="G10" s="398">
        <v>0.79</v>
      </c>
      <c r="H10" s="399">
        <v>0.78</v>
      </c>
      <c r="I10" s="400">
        <v>0.83</v>
      </c>
      <c r="J10" s="401">
        <v>0.89</v>
      </c>
      <c r="K10" s="401">
        <v>0.83</v>
      </c>
      <c r="L10" s="402">
        <v>0.76</v>
      </c>
      <c r="M10" s="402">
        <v>0.75</v>
      </c>
      <c r="N10" s="401">
        <v>0.9</v>
      </c>
      <c r="O10" s="401">
        <v>0.89</v>
      </c>
      <c r="P10" s="401">
        <v>0.86</v>
      </c>
      <c r="Q10" s="403">
        <v>0.77</v>
      </c>
    </row>
    <row r="11" spans="1:17" s="6" customFormat="1" ht="50.25" customHeight="1" x14ac:dyDescent="0.3">
      <c r="A11" s="818"/>
      <c r="B11" s="7" t="s">
        <v>342</v>
      </c>
      <c r="C11" s="5" t="s">
        <v>343</v>
      </c>
      <c r="D11" s="93" t="s">
        <v>344</v>
      </c>
      <c r="E11" s="352" t="s">
        <v>513</v>
      </c>
      <c r="F11" s="404">
        <v>1</v>
      </c>
      <c r="G11" s="405">
        <v>1</v>
      </c>
      <c r="H11" s="406">
        <v>1</v>
      </c>
      <c r="I11" s="406">
        <v>1</v>
      </c>
      <c r="J11" s="407">
        <v>1</v>
      </c>
      <c r="K11" s="407">
        <v>1</v>
      </c>
      <c r="L11" s="408">
        <v>1</v>
      </c>
      <c r="M11" s="408">
        <v>1</v>
      </c>
      <c r="N11" s="408">
        <v>1</v>
      </c>
      <c r="O11" s="408">
        <v>1</v>
      </c>
      <c r="P11" s="408">
        <v>1</v>
      </c>
      <c r="Q11" s="409">
        <v>1</v>
      </c>
    </row>
    <row r="12" spans="1:17" s="6" customFormat="1" ht="50.25" customHeight="1" x14ac:dyDescent="0.3">
      <c r="A12" s="818"/>
      <c r="B12" s="7" t="s">
        <v>345</v>
      </c>
      <c r="C12" s="5" t="s">
        <v>346</v>
      </c>
      <c r="D12" s="261" t="s">
        <v>347</v>
      </c>
      <c r="E12" s="353" t="s">
        <v>519</v>
      </c>
      <c r="F12" s="410">
        <v>1.6E-2</v>
      </c>
      <c r="G12" s="411">
        <v>0.04</v>
      </c>
      <c r="H12" s="412">
        <v>0.06</v>
      </c>
      <c r="I12" s="413">
        <v>0.108</v>
      </c>
      <c r="J12" s="407">
        <v>0.39</v>
      </c>
      <c r="K12" s="407">
        <v>0.97</v>
      </c>
      <c r="L12" s="408">
        <v>0.96</v>
      </c>
      <c r="M12" s="408">
        <v>0.9</v>
      </c>
      <c r="N12" s="408">
        <v>0.93</v>
      </c>
      <c r="O12" s="408">
        <v>0.91</v>
      </c>
      <c r="P12" s="408">
        <v>0.88</v>
      </c>
      <c r="Q12" s="409">
        <v>0.85</v>
      </c>
    </row>
    <row r="13" spans="1:17" s="6" customFormat="1" ht="50.25" customHeight="1" x14ac:dyDescent="0.3">
      <c r="A13" s="819"/>
      <c r="B13" s="14" t="s">
        <v>348</v>
      </c>
      <c r="C13" s="8" t="s">
        <v>349</v>
      </c>
      <c r="D13" s="172" t="s">
        <v>350</v>
      </c>
      <c r="E13" s="354" t="s">
        <v>519</v>
      </c>
      <c r="F13" s="414">
        <v>0</v>
      </c>
      <c r="G13" s="414">
        <v>0</v>
      </c>
      <c r="H13" s="414">
        <v>0</v>
      </c>
      <c r="I13" s="414">
        <v>0</v>
      </c>
      <c r="J13" s="414">
        <v>0</v>
      </c>
      <c r="K13" s="414">
        <v>0</v>
      </c>
      <c r="L13" s="414">
        <v>0</v>
      </c>
      <c r="M13" s="414">
        <v>0</v>
      </c>
      <c r="N13" s="414">
        <v>0</v>
      </c>
      <c r="O13" s="414">
        <v>0</v>
      </c>
      <c r="P13" s="414">
        <v>0</v>
      </c>
      <c r="Q13" s="415">
        <v>0</v>
      </c>
    </row>
    <row r="14" spans="1:17" s="6" customFormat="1" ht="46.5" customHeight="1" x14ac:dyDescent="0.3">
      <c r="A14" s="817" t="s">
        <v>153</v>
      </c>
      <c r="B14" s="12" t="s">
        <v>480</v>
      </c>
      <c r="C14" s="12" t="s">
        <v>481</v>
      </c>
      <c r="D14" s="76" t="s">
        <v>551</v>
      </c>
      <c r="E14" s="36" t="s">
        <v>512</v>
      </c>
      <c r="F14" s="1046">
        <v>1</v>
      </c>
      <c r="G14" s="969"/>
      <c r="H14" s="969"/>
      <c r="I14" s="1047">
        <v>1</v>
      </c>
      <c r="J14" s="1027"/>
      <c r="K14" s="1027"/>
      <c r="L14" s="1047">
        <v>1</v>
      </c>
      <c r="M14" s="1027"/>
      <c r="N14" s="1027"/>
      <c r="O14" s="1047">
        <v>1</v>
      </c>
      <c r="P14" s="1027"/>
      <c r="Q14" s="1048"/>
    </row>
    <row r="15" spans="1:17" s="6" customFormat="1" ht="46.5" customHeight="1" x14ac:dyDescent="0.3">
      <c r="A15" s="818"/>
      <c r="B15" s="5" t="s">
        <v>482</v>
      </c>
      <c r="C15" s="5" t="s">
        <v>483</v>
      </c>
      <c r="D15" s="77" t="s">
        <v>549</v>
      </c>
      <c r="E15" s="33" t="s">
        <v>512</v>
      </c>
      <c r="F15" s="1054">
        <v>1</v>
      </c>
      <c r="G15" s="972"/>
      <c r="H15" s="972"/>
      <c r="I15" s="1049">
        <v>1</v>
      </c>
      <c r="J15" s="972"/>
      <c r="K15" s="972"/>
      <c r="L15" s="1049">
        <v>0.85</v>
      </c>
      <c r="M15" s="972"/>
      <c r="N15" s="972"/>
      <c r="O15" s="1049">
        <v>0</v>
      </c>
      <c r="P15" s="972"/>
      <c r="Q15" s="1050"/>
    </row>
    <row r="16" spans="1:17" s="6" customFormat="1" ht="46.5" customHeight="1" x14ac:dyDescent="0.3">
      <c r="A16" s="819"/>
      <c r="B16" s="8" t="s">
        <v>484</v>
      </c>
      <c r="C16" s="8" t="s">
        <v>485</v>
      </c>
      <c r="D16" s="87" t="s">
        <v>550</v>
      </c>
      <c r="E16" s="37" t="s">
        <v>513</v>
      </c>
      <c r="F16" s="1057">
        <v>1</v>
      </c>
      <c r="G16" s="1057"/>
      <c r="H16" s="1057"/>
      <c r="I16" s="1057"/>
      <c r="J16" s="1057"/>
      <c r="K16" s="1058"/>
      <c r="L16" s="1059">
        <v>1</v>
      </c>
      <c r="M16" s="1060"/>
      <c r="N16" s="1060"/>
      <c r="O16" s="1060"/>
      <c r="P16" s="1060"/>
      <c r="Q16" s="1061"/>
    </row>
    <row r="17" spans="1:17" s="6" customFormat="1" ht="48.75" customHeight="1" x14ac:dyDescent="0.3">
      <c r="A17" s="1055" t="s">
        <v>75</v>
      </c>
      <c r="B17" s="262" t="s">
        <v>351</v>
      </c>
      <c r="C17" s="7" t="s">
        <v>352</v>
      </c>
      <c r="D17" s="508" t="s">
        <v>353</v>
      </c>
      <c r="E17" s="355" t="s">
        <v>508</v>
      </c>
      <c r="F17" s="1035"/>
      <c r="G17" s="1036"/>
      <c r="H17" s="1036"/>
      <c r="I17" s="1036"/>
      <c r="J17" s="1036"/>
      <c r="K17" s="1036"/>
      <c r="L17" s="1036"/>
      <c r="M17" s="1036"/>
      <c r="N17" s="1036"/>
      <c r="O17" s="1036"/>
      <c r="P17" s="1036"/>
      <c r="Q17" s="1037"/>
    </row>
    <row r="18" spans="1:17" s="6" customFormat="1" ht="48.75" customHeight="1" x14ac:dyDescent="0.3">
      <c r="A18" s="1055"/>
      <c r="B18" s="13"/>
      <c r="C18" s="5" t="s">
        <v>354</v>
      </c>
      <c r="D18" s="159" t="s">
        <v>595</v>
      </c>
      <c r="E18" s="352" t="s">
        <v>511</v>
      </c>
      <c r="F18" s="485">
        <f>24124+1965</f>
        <v>26089</v>
      </c>
      <c r="G18" s="486">
        <f>18259+1082+F18</f>
        <v>45430</v>
      </c>
      <c r="H18" s="486">
        <f>25356+1870+G18</f>
        <v>72656</v>
      </c>
      <c r="I18" s="486">
        <f>33850+3964+H18</f>
        <v>110470</v>
      </c>
      <c r="J18" s="486">
        <f>54790+I18</f>
        <v>165260</v>
      </c>
      <c r="K18" s="486">
        <f>57949+J18</f>
        <v>223209</v>
      </c>
      <c r="L18" s="486">
        <f>75521+K18</f>
        <v>298730</v>
      </c>
      <c r="M18" s="486">
        <f>86955+L18</f>
        <v>385685</v>
      </c>
      <c r="N18" s="487">
        <f>72134+M18</f>
        <v>457819</v>
      </c>
      <c r="O18" s="488">
        <f>88295+N18</f>
        <v>546114</v>
      </c>
      <c r="P18" s="487">
        <f>83985+O18</f>
        <v>630099</v>
      </c>
      <c r="Q18" s="487">
        <f>90087+P18</f>
        <v>720186</v>
      </c>
    </row>
    <row r="19" spans="1:17" s="6" customFormat="1" ht="48.75" customHeight="1" x14ac:dyDescent="0.3">
      <c r="A19" s="1055"/>
      <c r="B19" s="54" t="s">
        <v>355</v>
      </c>
      <c r="C19" s="5" t="s">
        <v>356</v>
      </c>
      <c r="D19" s="159" t="s">
        <v>357</v>
      </c>
      <c r="E19" s="352" t="s">
        <v>511</v>
      </c>
      <c r="F19" s="485">
        <f>337+44</f>
        <v>381</v>
      </c>
      <c r="G19" s="486">
        <f>253+22+F19</f>
        <v>656</v>
      </c>
      <c r="H19" s="486">
        <f>322+30+G19</f>
        <v>1008</v>
      </c>
      <c r="I19" s="486">
        <f>427+52+H19</f>
        <v>1487</v>
      </c>
      <c r="J19" s="486">
        <f>138+1084+I19</f>
        <v>2709</v>
      </c>
      <c r="K19" s="486">
        <f>988+204+J19</f>
        <v>3901</v>
      </c>
      <c r="L19" s="486">
        <f>1204+200+K19</f>
        <v>5305</v>
      </c>
      <c r="M19" s="486">
        <f>1220+254+L19</f>
        <v>6779</v>
      </c>
      <c r="N19" s="487">
        <f>187+1097+M19</f>
        <v>8063</v>
      </c>
      <c r="O19" s="489">
        <f>+N19+865</f>
        <v>8928</v>
      </c>
      <c r="P19" s="487">
        <f>879+O19</f>
        <v>9807</v>
      </c>
      <c r="Q19" s="487">
        <f>1035+P19</f>
        <v>10842</v>
      </c>
    </row>
    <row r="20" spans="1:17" s="6" customFormat="1" ht="48.75" customHeight="1" x14ac:dyDescent="0.3">
      <c r="A20" s="1055"/>
      <c r="B20" s="7"/>
      <c r="C20" s="5" t="s">
        <v>358</v>
      </c>
      <c r="D20" s="159" t="s">
        <v>359</v>
      </c>
      <c r="E20" s="352" t="s">
        <v>511</v>
      </c>
      <c r="F20" s="490">
        <v>0.70499999999999996</v>
      </c>
      <c r="G20" s="491">
        <v>0.80300000000000005</v>
      </c>
      <c r="H20" s="491">
        <v>0.90100000000000002</v>
      </c>
      <c r="I20" s="491">
        <v>0.6371</v>
      </c>
      <c r="J20" s="491">
        <v>0.55600000000000005</v>
      </c>
      <c r="K20" s="491">
        <v>0.55300000000000005</v>
      </c>
      <c r="L20" s="491">
        <v>0.69</v>
      </c>
      <c r="M20" s="491">
        <v>0.71799999999999997</v>
      </c>
      <c r="N20" s="492">
        <v>0.621</v>
      </c>
      <c r="O20" s="493">
        <v>0.65</v>
      </c>
      <c r="P20" s="492">
        <v>0.53900000000000003</v>
      </c>
      <c r="Q20" s="492">
        <v>0.55000000000000004</v>
      </c>
    </row>
    <row r="21" spans="1:17" s="6" customFormat="1" ht="48.75" customHeight="1" x14ac:dyDescent="0.3">
      <c r="A21" s="1055"/>
      <c r="B21" s="5" t="s">
        <v>360</v>
      </c>
      <c r="C21" s="5" t="s">
        <v>361</v>
      </c>
      <c r="D21" s="159" t="s">
        <v>362</v>
      </c>
      <c r="E21" s="352" t="s">
        <v>513</v>
      </c>
      <c r="F21" s="1066"/>
      <c r="G21" s="1067"/>
      <c r="H21" s="1067"/>
      <c r="I21" s="1067"/>
      <c r="J21" s="1067"/>
      <c r="K21" s="1068"/>
      <c r="L21" s="1069"/>
      <c r="M21" s="1070"/>
      <c r="N21" s="1070"/>
      <c r="O21" s="1070"/>
      <c r="P21" s="1070"/>
      <c r="Q21" s="1071"/>
    </row>
    <row r="22" spans="1:17" s="6" customFormat="1" ht="48.75" customHeight="1" x14ac:dyDescent="0.3">
      <c r="A22" s="1055"/>
      <c r="B22" s="262" t="s">
        <v>363</v>
      </c>
      <c r="C22" s="5" t="s">
        <v>364</v>
      </c>
      <c r="D22" s="159" t="s">
        <v>365</v>
      </c>
      <c r="E22" s="352" t="s">
        <v>511</v>
      </c>
      <c r="F22" s="485">
        <v>108000</v>
      </c>
      <c r="G22" s="486">
        <f>+F22+83000</f>
        <v>191000</v>
      </c>
      <c r="H22" s="486">
        <f>103000+G22</f>
        <v>294000</v>
      </c>
      <c r="I22" s="486">
        <f>77000+H22</f>
        <v>371000</v>
      </c>
      <c r="J22" s="486">
        <f>145000+I22</f>
        <v>516000</v>
      </c>
      <c r="K22" s="486">
        <f>164000+J22</f>
        <v>680000</v>
      </c>
      <c r="L22" s="486">
        <f>307000+K22</f>
        <v>987000</v>
      </c>
      <c r="M22" s="486">
        <f>88000+L22</f>
        <v>1075000</v>
      </c>
      <c r="N22" s="486">
        <f>161000+M22</f>
        <v>1236000</v>
      </c>
      <c r="O22" s="486">
        <f>155000+N22</f>
        <v>1391000</v>
      </c>
      <c r="P22" s="486">
        <f>124000+O22</f>
        <v>1515000</v>
      </c>
      <c r="Q22" s="486">
        <f>188000+P22</f>
        <v>1703000</v>
      </c>
    </row>
    <row r="23" spans="1:17" s="6" customFormat="1" ht="48.75" customHeight="1" x14ac:dyDescent="0.3">
      <c r="A23" s="1056"/>
      <c r="B23" s="375"/>
      <c r="C23" s="8" t="s">
        <v>366</v>
      </c>
      <c r="D23" s="509" t="s">
        <v>367</v>
      </c>
      <c r="E23" s="376" t="s">
        <v>511</v>
      </c>
      <c r="F23" s="494">
        <f>F22/F18</f>
        <v>4.13967572540151</v>
      </c>
      <c r="G23" s="495">
        <f>G22/G18</f>
        <v>4.2042703059652213</v>
      </c>
      <c r="H23" s="495">
        <f>H22/H18</f>
        <v>4.0464655362255009</v>
      </c>
      <c r="I23" s="496">
        <f>+I22/I18</f>
        <v>3.3583778401375941</v>
      </c>
      <c r="J23" s="496">
        <f t="shared" ref="J23:L23" si="0">+J22/J18</f>
        <v>3.1223526564201864</v>
      </c>
      <c r="K23" s="496">
        <f t="shared" si="0"/>
        <v>3.0464721404602861</v>
      </c>
      <c r="L23" s="496">
        <f t="shared" si="0"/>
        <v>3.3039868777826129</v>
      </c>
      <c r="M23" s="496">
        <f>+M22/M18</f>
        <v>2.7872486614724452</v>
      </c>
      <c r="N23" s="496">
        <f>+N22/N18</f>
        <v>2.6997568908236662</v>
      </c>
      <c r="O23" s="496">
        <f>+O22/O18</f>
        <v>2.5470872381956879</v>
      </c>
      <c r="P23" s="496">
        <f>+P22/P18</f>
        <v>2.404384072979008</v>
      </c>
      <c r="Q23" s="496">
        <f>+Q22/Q18</f>
        <v>2.3646669054938587</v>
      </c>
    </row>
    <row r="24" spans="1:17" s="6" customFormat="1" ht="54" customHeight="1" x14ac:dyDescent="0.3">
      <c r="A24" s="1065" t="s">
        <v>176</v>
      </c>
      <c r="B24" s="12" t="s">
        <v>369</v>
      </c>
      <c r="C24" s="12" t="s">
        <v>370</v>
      </c>
      <c r="D24" s="170" t="s">
        <v>371</v>
      </c>
      <c r="E24" s="351" t="s">
        <v>519</v>
      </c>
      <c r="F24" s="420"/>
      <c r="G24" s="421"/>
      <c r="H24" s="421"/>
      <c r="I24" s="422">
        <v>1</v>
      </c>
      <c r="J24" s="422">
        <v>1</v>
      </c>
      <c r="K24" s="422">
        <v>1</v>
      </c>
      <c r="L24" s="422">
        <v>1</v>
      </c>
      <c r="M24" s="422">
        <v>1</v>
      </c>
      <c r="N24" s="422">
        <v>1</v>
      </c>
      <c r="O24" s="423">
        <v>1</v>
      </c>
      <c r="P24" s="423">
        <v>1</v>
      </c>
      <c r="Q24" s="424">
        <v>1</v>
      </c>
    </row>
    <row r="25" spans="1:17" s="6" customFormat="1" ht="54" customHeight="1" x14ac:dyDescent="0.3">
      <c r="A25" s="1055"/>
      <c r="B25" s="5" t="s">
        <v>372</v>
      </c>
      <c r="C25" s="5" t="s">
        <v>373</v>
      </c>
      <c r="D25" s="93" t="s">
        <v>374</v>
      </c>
      <c r="E25" s="352" t="s">
        <v>512</v>
      </c>
      <c r="F25" s="1053">
        <v>1</v>
      </c>
      <c r="G25" s="1053"/>
      <c r="H25" s="1054"/>
      <c r="I25" s="1044">
        <v>1</v>
      </c>
      <c r="J25" s="1053"/>
      <c r="K25" s="1054"/>
      <c r="L25" s="1044">
        <v>1</v>
      </c>
      <c r="M25" s="1053"/>
      <c r="N25" s="1054"/>
      <c r="O25" s="1044">
        <v>1</v>
      </c>
      <c r="P25" s="1053"/>
      <c r="Q25" s="1089"/>
    </row>
    <row r="26" spans="1:17" s="6" customFormat="1" ht="54" customHeight="1" x14ac:dyDescent="0.3">
      <c r="A26" s="1055"/>
      <c r="B26" s="5" t="s">
        <v>375</v>
      </c>
      <c r="C26" s="5" t="s">
        <v>376</v>
      </c>
      <c r="D26" s="93" t="s">
        <v>377</v>
      </c>
      <c r="E26" s="352" t="s">
        <v>512</v>
      </c>
      <c r="F26" s="1053">
        <v>0.78</v>
      </c>
      <c r="G26" s="1053"/>
      <c r="H26" s="1054"/>
      <c r="I26" s="1044">
        <v>0.73160000000000003</v>
      </c>
      <c r="J26" s="1053"/>
      <c r="K26" s="1054"/>
      <c r="L26" s="1044">
        <v>0.86660000000000004</v>
      </c>
      <c r="M26" s="1053"/>
      <c r="N26" s="1054"/>
      <c r="O26" s="1044">
        <v>0.52500000000000002</v>
      </c>
      <c r="P26" s="1053"/>
      <c r="Q26" s="1089"/>
    </row>
    <row r="27" spans="1:17" s="6" customFormat="1" ht="54" customHeight="1" x14ac:dyDescent="0.3">
      <c r="A27" s="819"/>
      <c r="B27" s="8" t="s">
        <v>378</v>
      </c>
      <c r="C27" s="8" t="s">
        <v>379</v>
      </c>
      <c r="D27" s="172" t="s">
        <v>380</v>
      </c>
      <c r="E27" s="354" t="s">
        <v>512</v>
      </c>
      <c r="F27" s="1092">
        <v>1362</v>
      </c>
      <c r="G27" s="1092"/>
      <c r="H27" s="1093"/>
      <c r="I27" s="1094">
        <v>3204</v>
      </c>
      <c r="J27" s="1092"/>
      <c r="K27" s="1093"/>
      <c r="L27" s="1094">
        <v>1014</v>
      </c>
      <c r="M27" s="1092"/>
      <c r="N27" s="1093"/>
      <c r="O27" s="1094">
        <v>800</v>
      </c>
      <c r="P27" s="1092"/>
      <c r="Q27" s="1093"/>
    </row>
    <row r="28" spans="1:17" s="6" customFormat="1" ht="50.25" customHeight="1" x14ac:dyDescent="0.3">
      <c r="A28" s="817" t="s">
        <v>42</v>
      </c>
      <c r="B28" s="5" t="s">
        <v>505</v>
      </c>
      <c r="C28" s="12" t="s">
        <v>506</v>
      </c>
      <c r="D28" s="308">
        <v>1</v>
      </c>
      <c r="E28" s="356" t="s">
        <v>513</v>
      </c>
      <c r="F28" s="1095" t="s">
        <v>555</v>
      </c>
      <c r="G28" s="1095"/>
      <c r="H28" s="1095"/>
      <c r="I28" s="1095"/>
      <c r="J28" s="1095"/>
      <c r="K28" s="1046"/>
      <c r="L28" s="1012" t="s">
        <v>555</v>
      </c>
      <c r="M28" s="1095"/>
      <c r="N28" s="1095"/>
      <c r="O28" s="1095"/>
      <c r="P28" s="1095"/>
      <c r="Q28" s="1096"/>
    </row>
    <row r="29" spans="1:17" s="6" customFormat="1" ht="50.25" customHeight="1" x14ac:dyDescent="0.3">
      <c r="A29" s="818"/>
      <c r="B29" s="5" t="s">
        <v>381</v>
      </c>
      <c r="C29" s="7" t="s">
        <v>382</v>
      </c>
      <c r="D29" s="309" t="s">
        <v>548</v>
      </c>
      <c r="E29" s="357" t="s">
        <v>508</v>
      </c>
      <c r="F29" s="1051">
        <v>1</v>
      </c>
      <c r="G29" s="1051"/>
      <c r="H29" s="1051"/>
      <c r="I29" s="1051"/>
      <c r="J29" s="1051"/>
      <c r="K29" s="1051"/>
      <c r="L29" s="1051"/>
      <c r="M29" s="1051"/>
      <c r="N29" s="1051"/>
      <c r="O29" s="1051"/>
      <c r="P29" s="1051"/>
      <c r="Q29" s="1052"/>
    </row>
    <row r="30" spans="1:17" s="6" customFormat="1" ht="50.25" customHeight="1" x14ac:dyDescent="0.3">
      <c r="A30" s="818"/>
      <c r="B30" s="5" t="s">
        <v>383</v>
      </c>
      <c r="C30" s="7" t="s">
        <v>384</v>
      </c>
      <c r="D30" s="309" t="s">
        <v>548</v>
      </c>
      <c r="E30" s="357" t="s">
        <v>512</v>
      </c>
      <c r="F30" s="1053">
        <v>1</v>
      </c>
      <c r="G30" s="1053"/>
      <c r="H30" s="1054"/>
      <c r="I30" s="1053">
        <v>1</v>
      </c>
      <c r="J30" s="1053"/>
      <c r="K30" s="1053"/>
      <c r="L30" s="1044">
        <v>1</v>
      </c>
      <c r="M30" s="1053"/>
      <c r="N30" s="1054"/>
      <c r="O30" s="1053">
        <v>1</v>
      </c>
      <c r="P30" s="1053"/>
      <c r="Q30" s="1089"/>
    </row>
    <row r="31" spans="1:17" s="6" customFormat="1" ht="50.25" customHeight="1" x14ac:dyDescent="0.3">
      <c r="A31" s="818"/>
      <c r="B31" s="5" t="s">
        <v>546</v>
      </c>
      <c r="C31" s="7" t="s">
        <v>385</v>
      </c>
      <c r="D31" s="263" t="s">
        <v>386</v>
      </c>
      <c r="E31" s="357" t="s">
        <v>508</v>
      </c>
      <c r="F31" s="1087">
        <f>28000+6000</f>
        <v>34000</v>
      </c>
      <c r="G31" s="1087"/>
      <c r="H31" s="1087"/>
      <c r="I31" s="1087"/>
      <c r="J31" s="1087"/>
      <c r="K31" s="1087"/>
      <c r="L31" s="1087"/>
      <c r="M31" s="1087"/>
      <c r="N31" s="1087"/>
      <c r="O31" s="1087"/>
      <c r="P31" s="1087"/>
      <c r="Q31" s="1088"/>
    </row>
    <row r="32" spans="1:17" s="6" customFormat="1" ht="50.25" customHeight="1" x14ac:dyDescent="0.3">
      <c r="A32" s="818"/>
      <c r="B32" s="5" t="s">
        <v>387</v>
      </c>
      <c r="C32" s="7" t="s">
        <v>388</v>
      </c>
      <c r="D32" s="309">
        <v>1</v>
      </c>
      <c r="E32" s="357" t="s">
        <v>508</v>
      </c>
      <c r="F32" s="1021">
        <v>1</v>
      </c>
      <c r="G32" s="1021"/>
      <c r="H32" s="1021"/>
      <c r="I32" s="1021"/>
      <c r="J32" s="1021"/>
      <c r="K32" s="1021"/>
      <c r="L32" s="1021"/>
      <c r="M32" s="1021"/>
      <c r="N32" s="1021"/>
      <c r="O32" s="1021"/>
      <c r="P32" s="1021"/>
      <c r="Q32" s="1025"/>
    </row>
    <row r="33" spans="1:17" s="6" customFormat="1" ht="50.25" customHeight="1" x14ac:dyDescent="0.3">
      <c r="A33" s="818"/>
      <c r="B33" s="5" t="s">
        <v>389</v>
      </c>
      <c r="C33" s="7" t="s">
        <v>390</v>
      </c>
      <c r="D33" s="263" t="s">
        <v>392</v>
      </c>
      <c r="E33" s="355" t="s">
        <v>511</v>
      </c>
      <c r="F33" s="425">
        <v>0</v>
      </c>
      <c r="G33" s="416">
        <v>0</v>
      </c>
      <c r="H33" s="416">
        <v>0</v>
      </c>
      <c r="I33" s="416">
        <v>0</v>
      </c>
      <c r="J33" s="416">
        <v>0</v>
      </c>
      <c r="K33" s="416">
        <v>0</v>
      </c>
      <c r="L33" s="416">
        <v>0</v>
      </c>
      <c r="M33" s="416">
        <v>0</v>
      </c>
      <c r="N33" s="416">
        <v>0</v>
      </c>
      <c r="O33" s="426">
        <f>48/3635</f>
        <v>1.3204951856946355E-2</v>
      </c>
      <c r="P33" s="416">
        <v>0</v>
      </c>
      <c r="Q33" s="417">
        <v>0</v>
      </c>
    </row>
    <row r="34" spans="1:17" s="6" customFormat="1" ht="50.25" customHeight="1" x14ac:dyDescent="0.3">
      <c r="A34" s="818"/>
      <c r="B34" s="5" t="s">
        <v>391</v>
      </c>
      <c r="C34" s="7" t="s">
        <v>507</v>
      </c>
      <c r="D34" s="309" t="s">
        <v>548</v>
      </c>
      <c r="E34" s="357" t="s">
        <v>513</v>
      </c>
      <c r="F34" s="1021">
        <v>1</v>
      </c>
      <c r="G34" s="1022"/>
      <c r="H34" s="1022"/>
      <c r="I34" s="1022"/>
      <c r="J34" s="1022"/>
      <c r="K34" s="1023"/>
      <c r="L34" s="1024">
        <v>1</v>
      </c>
      <c r="M34" s="1022"/>
      <c r="N34" s="1022"/>
      <c r="O34" s="1022"/>
      <c r="P34" s="1021"/>
      <c r="Q34" s="1025"/>
    </row>
    <row r="35" spans="1:17" s="6" customFormat="1" ht="50.25" customHeight="1" x14ac:dyDescent="0.3">
      <c r="A35" s="818"/>
      <c r="B35" s="13" t="s">
        <v>509</v>
      </c>
      <c r="C35" s="13" t="s">
        <v>510</v>
      </c>
      <c r="D35" s="261" t="s">
        <v>514</v>
      </c>
      <c r="E35" s="353" t="s">
        <v>508</v>
      </c>
      <c r="F35" s="1124">
        <f>47000</f>
        <v>47000</v>
      </c>
      <c r="G35" s="1124"/>
      <c r="H35" s="1124"/>
      <c r="I35" s="1124"/>
      <c r="J35" s="1124"/>
      <c r="K35" s="1124"/>
      <c r="L35" s="1124"/>
      <c r="M35" s="1124"/>
      <c r="N35" s="1124"/>
      <c r="O35" s="1124"/>
      <c r="P35" s="1124"/>
      <c r="Q35" s="1125"/>
    </row>
    <row r="36" spans="1:17" s="96" customFormat="1" ht="45.75" customHeight="1" x14ac:dyDescent="0.3">
      <c r="A36" s="817" t="s">
        <v>43</v>
      </c>
      <c r="B36" s="12" t="s">
        <v>393</v>
      </c>
      <c r="C36" s="12" t="s">
        <v>394</v>
      </c>
      <c r="D36" s="170" t="s">
        <v>395</v>
      </c>
      <c r="E36" s="351" t="s">
        <v>512</v>
      </c>
      <c r="F36" s="1046">
        <v>0.83</v>
      </c>
      <c r="G36" s="1097"/>
      <c r="H36" s="1097"/>
      <c r="I36" s="1098">
        <v>0.88</v>
      </c>
      <c r="J36" s="1099"/>
      <c r="K36" s="1100"/>
      <c r="L36" s="1038">
        <v>0.82352941176470584</v>
      </c>
      <c r="M36" s="1038"/>
      <c r="N36" s="1038"/>
      <c r="O36" s="1039">
        <v>0.82352941176470584</v>
      </c>
      <c r="P36" s="1040"/>
      <c r="Q36" s="1041"/>
    </row>
    <row r="37" spans="1:17" s="6" customFormat="1" ht="45.75" customHeight="1" x14ac:dyDescent="0.3">
      <c r="A37" s="818"/>
      <c r="B37" s="5" t="s">
        <v>396</v>
      </c>
      <c r="C37" s="5" t="s">
        <v>397</v>
      </c>
      <c r="D37" s="93" t="s">
        <v>398</v>
      </c>
      <c r="E37" s="352" t="s">
        <v>512</v>
      </c>
      <c r="F37" s="1042" t="s">
        <v>586</v>
      </c>
      <c r="G37" s="1043"/>
      <c r="H37" s="1043"/>
      <c r="I37" s="1044">
        <v>0.05</v>
      </c>
      <c r="J37" s="852"/>
      <c r="K37" s="853"/>
      <c r="L37" s="1083">
        <v>0.05</v>
      </c>
      <c r="M37" s="1083"/>
      <c r="N37" s="1083"/>
      <c r="O37" s="1084">
        <v>0.06</v>
      </c>
      <c r="P37" s="1085"/>
      <c r="Q37" s="1086"/>
    </row>
    <row r="38" spans="1:17" s="6" customFormat="1" ht="45.75" customHeight="1" x14ac:dyDescent="0.3">
      <c r="A38" s="818"/>
      <c r="B38" s="335" t="s">
        <v>543</v>
      </c>
      <c r="C38" s="5" t="s">
        <v>47</v>
      </c>
      <c r="D38" s="77" t="s">
        <v>123</v>
      </c>
      <c r="E38" s="352" t="s">
        <v>512</v>
      </c>
      <c r="F38" s="1107">
        <v>2.8899999999999999E-2</v>
      </c>
      <c r="G38" s="1107"/>
      <c r="H38" s="1042"/>
      <c r="I38" s="1044">
        <v>0.02</v>
      </c>
      <c r="J38" s="1062"/>
      <c r="K38" s="1063"/>
      <c r="L38" s="1044">
        <v>0.03</v>
      </c>
      <c r="M38" s="1062"/>
      <c r="N38" s="1063"/>
      <c r="O38" s="1044">
        <v>0.05</v>
      </c>
      <c r="P38" s="1062"/>
      <c r="Q38" s="1126"/>
    </row>
    <row r="39" spans="1:17" s="6" customFormat="1" ht="45.75" customHeight="1" x14ac:dyDescent="0.3">
      <c r="A39" s="818"/>
      <c r="B39" s="5" t="s">
        <v>399</v>
      </c>
      <c r="C39" s="5" t="s">
        <v>400</v>
      </c>
      <c r="D39" s="77" t="s">
        <v>522</v>
      </c>
      <c r="E39" s="352" t="s">
        <v>519</v>
      </c>
      <c r="F39" s="1063" t="s">
        <v>520</v>
      </c>
      <c r="G39" s="1064"/>
      <c r="H39" s="1064"/>
      <c r="I39" s="1064" t="s">
        <v>556</v>
      </c>
      <c r="J39" s="1064"/>
      <c r="K39" s="1064"/>
      <c r="L39" s="1064" t="s">
        <v>557</v>
      </c>
      <c r="M39" s="1064"/>
      <c r="N39" s="1064"/>
      <c r="O39" s="1064" t="s">
        <v>582</v>
      </c>
      <c r="P39" s="1064"/>
      <c r="Q39" s="1127"/>
    </row>
    <row r="40" spans="1:17" s="6" customFormat="1" ht="45.75" customHeight="1" x14ac:dyDescent="0.3">
      <c r="A40" s="819"/>
      <c r="B40" s="8" t="s">
        <v>401</v>
      </c>
      <c r="C40" s="8" t="s">
        <v>402</v>
      </c>
      <c r="D40" s="87" t="s">
        <v>523</v>
      </c>
      <c r="E40" s="354" t="s">
        <v>519</v>
      </c>
      <c r="F40" s="1081" t="s">
        <v>521</v>
      </c>
      <c r="G40" s="1082"/>
      <c r="H40" s="1082"/>
      <c r="I40" s="1082" t="s">
        <v>558</v>
      </c>
      <c r="J40" s="1082"/>
      <c r="K40" s="1082"/>
      <c r="L40" s="1082" t="s">
        <v>559</v>
      </c>
      <c r="M40" s="1082"/>
      <c r="N40" s="1082"/>
      <c r="O40" s="1082" t="s">
        <v>583</v>
      </c>
      <c r="P40" s="1082"/>
      <c r="Q40" s="1128"/>
    </row>
    <row r="41" spans="1:17" s="6" customFormat="1" ht="45" customHeight="1" x14ac:dyDescent="0.3">
      <c r="A41" s="863" t="s">
        <v>19</v>
      </c>
      <c r="B41" s="12" t="s">
        <v>403</v>
      </c>
      <c r="C41" s="12" t="s">
        <v>517</v>
      </c>
      <c r="D41" s="93" t="s">
        <v>515</v>
      </c>
      <c r="E41" s="358" t="s">
        <v>511</v>
      </c>
      <c r="F41" s="427">
        <v>1044</v>
      </c>
      <c r="G41" s="428">
        <v>2446</v>
      </c>
      <c r="H41" s="428">
        <v>3856</v>
      </c>
      <c r="I41" s="428">
        <v>5221</v>
      </c>
      <c r="J41" s="428">
        <v>6565</v>
      </c>
      <c r="K41" s="428">
        <v>7805</v>
      </c>
      <c r="L41" s="428">
        <v>8950</v>
      </c>
      <c r="M41" s="428">
        <v>10090</v>
      </c>
      <c r="N41" s="428">
        <v>11221</v>
      </c>
      <c r="O41" s="428">
        <v>12283</v>
      </c>
      <c r="P41" s="428">
        <v>13260</v>
      </c>
      <c r="Q41" s="468">
        <v>14327</v>
      </c>
    </row>
    <row r="42" spans="1:17" s="6" customFormat="1" ht="45" customHeight="1" x14ac:dyDescent="0.3">
      <c r="A42" s="864"/>
      <c r="B42" s="5" t="s">
        <v>403</v>
      </c>
      <c r="C42" s="5" t="s">
        <v>518</v>
      </c>
      <c r="D42" s="93" t="s">
        <v>516</v>
      </c>
      <c r="E42" s="359" t="s">
        <v>511</v>
      </c>
      <c r="F42" s="429">
        <v>0.26</v>
      </c>
      <c r="G42" s="419">
        <v>2.8</v>
      </c>
      <c r="H42" s="419">
        <v>3.99</v>
      </c>
      <c r="I42" s="430">
        <v>6.65</v>
      </c>
      <c r="J42" s="430">
        <v>13.16</v>
      </c>
      <c r="K42" s="430">
        <v>29.67</v>
      </c>
      <c r="L42" s="430">
        <v>31.11</v>
      </c>
      <c r="M42" s="430">
        <v>32.43</v>
      </c>
      <c r="N42" s="430">
        <v>35.450000000000003</v>
      </c>
      <c r="O42" s="430">
        <v>39.18</v>
      </c>
      <c r="P42" s="430">
        <v>42.02</v>
      </c>
      <c r="Q42" s="466">
        <v>44.82</v>
      </c>
    </row>
    <row r="43" spans="1:17" s="6" customFormat="1" ht="45.75" customHeight="1" x14ac:dyDescent="0.3">
      <c r="A43" s="1065" t="s">
        <v>48</v>
      </c>
      <c r="B43" s="12" t="s">
        <v>404</v>
      </c>
      <c r="C43" s="155" t="s">
        <v>405</v>
      </c>
      <c r="D43" s="158" t="s">
        <v>406</v>
      </c>
      <c r="E43" s="360" t="s">
        <v>508</v>
      </c>
      <c r="F43" s="1090">
        <v>0.94</v>
      </c>
      <c r="G43" s="1090"/>
      <c r="H43" s="1090"/>
      <c r="I43" s="1090"/>
      <c r="J43" s="1090"/>
      <c r="K43" s="1090"/>
      <c r="L43" s="1090"/>
      <c r="M43" s="1090"/>
      <c r="N43" s="1090"/>
      <c r="O43" s="1090"/>
      <c r="P43" s="1090"/>
      <c r="Q43" s="1091"/>
    </row>
    <row r="44" spans="1:17" s="6" customFormat="1" ht="45.75" customHeight="1" x14ac:dyDescent="0.3">
      <c r="A44" s="1055"/>
      <c r="B44" s="5" t="s">
        <v>407</v>
      </c>
      <c r="C44" s="156" t="s">
        <v>408</v>
      </c>
      <c r="D44" s="159" t="s">
        <v>574</v>
      </c>
      <c r="E44" s="361" t="s">
        <v>508</v>
      </c>
      <c r="F44" s="1090">
        <v>0.88</v>
      </c>
      <c r="G44" s="1090"/>
      <c r="H44" s="1090"/>
      <c r="I44" s="1090"/>
      <c r="J44" s="1090"/>
      <c r="K44" s="1090"/>
      <c r="L44" s="1090"/>
      <c r="M44" s="1090"/>
      <c r="N44" s="1090"/>
      <c r="O44" s="1090"/>
      <c r="P44" s="1090"/>
      <c r="Q44" s="1091"/>
    </row>
    <row r="45" spans="1:17" s="6" customFormat="1" ht="45.75" customHeight="1" x14ac:dyDescent="0.3">
      <c r="A45" s="1055"/>
      <c r="B45" s="54" t="s">
        <v>409</v>
      </c>
      <c r="C45" s="157" t="s">
        <v>410</v>
      </c>
      <c r="D45" s="160" t="s">
        <v>411</v>
      </c>
      <c r="E45" s="362" t="s">
        <v>513</v>
      </c>
      <c r="F45" s="1072"/>
      <c r="G45" s="1072"/>
      <c r="H45" s="1072"/>
      <c r="I45" s="1072"/>
      <c r="J45" s="1072"/>
      <c r="K45" s="1073"/>
      <c r="L45" s="1074" t="s">
        <v>575</v>
      </c>
      <c r="M45" s="1075"/>
      <c r="N45" s="1075"/>
      <c r="O45" s="1075"/>
      <c r="P45" s="1075"/>
      <c r="Q45" s="1076"/>
    </row>
    <row r="46" spans="1:17" s="6" customFormat="1" ht="56.25" customHeight="1" x14ac:dyDescent="0.3">
      <c r="A46" s="817" t="s">
        <v>154</v>
      </c>
      <c r="B46" s="12" t="s">
        <v>413</v>
      </c>
      <c r="C46" s="12" t="s">
        <v>157</v>
      </c>
      <c r="D46" s="170" t="s">
        <v>353</v>
      </c>
      <c r="E46" s="354" t="s">
        <v>508</v>
      </c>
      <c r="F46" s="1077">
        <v>0.80389999999999995</v>
      </c>
      <c r="G46" s="969"/>
      <c r="H46" s="969"/>
      <c r="I46" s="969"/>
      <c r="J46" s="969"/>
      <c r="K46" s="969"/>
      <c r="L46" s="969"/>
      <c r="M46" s="969"/>
      <c r="N46" s="969"/>
      <c r="O46" s="969"/>
      <c r="P46" s="969"/>
      <c r="Q46" s="1078"/>
    </row>
    <row r="47" spans="1:17" s="6" customFormat="1" ht="56.25" customHeight="1" x14ac:dyDescent="0.3">
      <c r="A47" s="818"/>
      <c r="B47" s="5" t="s">
        <v>414</v>
      </c>
      <c r="C47" s="5" t="s">
        <v>415</v>
      </c>
      <c r="D47" s="172" t="s">
        <v>96</v>
      </c>
      <c r="E47" s="362" t="s">
        <v>513</v>
      </c>
      <c r="F47" s="1079">
        <v>1</v>
      </c>
      <c r="G47" s="1079"/>
      <c r="H47" s="1079"/>
      <c r="I47" s="1079"/>
      <c r="J47" s="1079"/>
      <c r="K47" s="1080"/>
      <c r="L47" s="1079">
        <v>1</v>
      </c>
      <c r="M47" s="1079"/>
      <c r="N47" s="1079"/>
      <c r="O47" s="1079"/>
      <c r="P47" s="1079"/>
      <c r="Q47" s="1080"/>
    </row>
    <row r="48" spans="1:17" s="6" customFormat="1" ht="40.5" customHeight="1" x14ac:dyDescent="0.3">
      <c r="A48" s="817" t="s">
        <v>36</v>
      </c>
      <c r="B48" s="12" t="s">
        <v>416</v>
      </c>
      <c r="C48" s="12" t="s">
        <v>486</v>
      </c>
      <c r="D48" s="263" t="s">
        <v>284</v>
      </c>
      <c r="E48" s="34" t="s">
        <v>519</v>
      </c>
      <c r="F48" s="342">
        <f>'[1]CALCUL MOYENNE EQP CRT'!D24</f>
        <v>0.99937500000000001</v>
      </c>
      <c r="G48" s="292">
        <f>'[1]CALCUL MOYENNE EQP CRT'!E24</f>
        <v>0.99937500000000001</v>
      </c>
      <c r="H48" s="292">
        <v>0.99875000000000003</v>
      </c>
      <c r="I48" s="292">
        <v>0.99312500000000004</v>
      </c>
      <c r="J48" s="292">
        <v>0.98411764705882354</v>
      </c>
      <c r="K48" s="292">
        <v>0.98411764705882354</v>
      </c>
      <c r="L48" s="292">
        <v>0.98411764705882354</v>
      </c>
      <c r="M48" s="292">
        <v>0.98470588235294132</v>
      </c>
      <c r="N48" s="292">
        <v>0.99187500000000006</v>
      </c>
      <c r="O48" s="292">
        <v>0.99250000000000005</v>
      </c>
      <c r="P48" s="292">
        <v>0.99250000000000005</v>
      </c>
      <c r="Q48" s="382">
        <v>0.99250000000000005</v>
      </c>
    </row>
    <row r="49" spans="1:17" s="6" customFormat="1" ht="40.5" customHeight="1" x14ac:dyDescent="0.3">
      <c r="A49" s="818"/>
      <c r="B49" s="5" t="s">
        <v>418</v>
      </c>
      <c r="C49" s="7" t="s">
        <v>487</v>
      </c>
      <c r="D49" s="93" t="s">
        <v>284</v>
      </c>
      <c r="E49" s="34" t="s">
        <v>519</v>
      </c>
      <c r="F49" s="342">
        <f>'[1]CALCUL MOYENNE EQP CRT'!D32</f>
        <v>0.99833333333333341</v>
      </c>
      <c r="G49" s="292">
        <f>'[1]CALCUL MOYENNE EQP CRT'!E32</f>
        <v>0.99833333333333341</v>
      </c>
      <c r="H49" s="292">
        <v>0.99833333333333341</v>
      </c>
      <c r="I49" s="292">
        <v>1</v>
      </c>
      <c r="J49" s="292">
        <v>0.95428571428571429</v>
      </c>
      <c r="K49" s="292">
        <v>1</v>
      </c>
      <c r="L49" s="292">
        <v>1</v>
      </c>
      <c r="M49" s="292">
        <v>1</v>
      </c>
      <c r="N49" s="292">
        <v>1</v>
      </c>
      <c r="O49" s="292">
        <v>1</v>
      </c>
      <c r="P49" s="292">
        <v>1</v>
      </c>
      <c r="Q49" s="382">
        <v>1</v>
      </c>
    </row>
    <row r="50" spans="1:17" s="6" customFormat="1" ht="40.5" customHeight="1" x14ac:dyDescent="0.3">
      <c r="A50" s="818"/>
      <c r="B50" s="5" t="s">
        <v>417</v>
      </c>
      <c r="C50" s="7" t="s">
        <v>488</v>
      </c>
      <c r="D50" s="93" t="s">
        <v>489</v>
      </c>
      <c r="E50" s="34" t="s">
        <v>519</v>
      </c>
      <c r="F50" s="342">
        <f>'[1]CALCUL MOYENNE EQP CRT'!D23</f>
        <v>0.75</v>
      </c>
      <c r="G50" s="292">
        <f>'[1]CALCUL MOYENNE EQP CRT'!E23</f>
        <v>0.74</v>
      </c>
      <c r="H50" s="292">
        <v>0.84</v>
      </c>
      <c r="I50" s="292">
        <v>0.84</v>
      </c>
      <c r="J50" s="292">
        <v>0.85</v>
      </c>
      <c r="K50" s="292">
        <v>0.86</v>
      </c>
      <c r="L50" s="292">
        <v>0.88</v>
      </c>
      <c r="M50" s="292">
        <v>0.87</v>
      </c>
      <c r="N50" s="292">
        <v>0.86</v>
      </c>
      <c r="O50" s="292">
        <v>0.87</v>
      </c>
      <c r="P50" s="292">
        <v>0.89</v>
      </c>
      <c r="Q50" s="382">
        <v>0.89</v>
      </c>
    </row>
    <row r="51" spans="1:17" s="6" customFormat="1" ht="40.5" customHeight="1" x14ac:dyDescent="0.3">
      <c r="A51" s="818"/>
      <c r="B51" s="5" t="s">
        <v>419</v>
      </c>
      <c r="C51" s="7" t="s">
        <v>488</v>
      </c>
      <c r="D51" s="93" t="s">
        <v>489</v>
      </c>
      <c r="E51" s="34" t="s">
        <v>519</v>
      </c>
      <c r="F51" s="342">
        <f>'[1]CALCUL MOYENNE EQP CRT'!D31</f>
        <v>0.68</v>
      </c>
      <c r="G51" s="292">
        <f>'[1]CALCUL MOYENNE EQP CRT'!E31</f>
        <v>0.68</v>
      </c>
      <c r="H51" s="292">
        <v>0.72</v>
      </c>
      <c r="I51" s="292">
        <v>0.7</v>
      </c>
      <c r="J51" s="292">
        <v>0.68</v>
      </c>
      <c r="K51" s="292">
        <v>1</v>
      </c>
      <c r="L51" s="292">
        <v>1</v>
      </c>
      <c r="M51" s="292">
        <v>1</v>
      </c>
      <c r="N51" s="292">
        <v>0.84</v>
      </c>
      <c r="O51" s="292">
        <v>0.79</v>
      </c>
      <c r="P51" s="292">
        <v>0.79</v>
      </c>
      <c r="Q51" s="382">
        <v>0.97</v>
      </c>
    </row>
    <row r="52" spans="1:17" s="6" customFormat="1" ht="40.5" customHeight="1" x14ac:dyDescent="0.3">
      <c r="A52" s="818"/>
      <c r="B52" s="5" t="s">
        <v>420</v>
      </c>
      <c r="C52" s="7" t="s">
        <v>421</v>
      </c>
      <c r="D52" s="93" t="s">
        <v>398</v>
      </c>
      <c r="E52" s="34" t="s">
        <v>519</v>
      </c>
      <c r="F52" s="340">
        <f>'[1]CALCUL CONSO'!N8</f>
        <v>-3.0385079184380253E-2</v>
      </c>
      <c r="G52" s="338">
        <f>'[1]CALCUL CONSO'!O8</f>
        <v>-0.17683325518573992</v>
      </c>
      <c r="H52" s="339">
        <v>0.42803808058933668</v>
      </c>
      <c r="I52" s="340">
        <v>-1.6431425358485764E-3</v>
      </c>
      <c r="J52" s="339">
        <v>0.15925306013351265</v>
      </c>
      <c r="K52" s="340">
        <v>0.11896457534140588</v>
      </c>
      <c r="L52" s="292">
        <v>0.2517829671159606</v>
      </c>
      <c r="M52" s="293">
        <v>9.6683935305078308E-2</v>
      </c>
      <c r="N52" s="292">
        <v>-0.200313400457139</v>
      </c>
      <c r="O52" s="292">
        <v>-5.152647041566534E-2</v>
      </c>
      <c r="P52" s="292">
        <v>-9.7355861586736966E-2</v>
      </c>
      <c r="Q52" s="382">
        <v>0.14703797103356023</v>
      </c>
    </row>
    <row r="53" spans="1:17" s="6" customFormat="1" ht="40.5" customHeight="1" x14ac:dyDescent="0.3">
      <c r="A53" s="818"/>
      <c r="B53" s="5" t="s">
        <v>525</v>
      </c>
      <c r="C53" s="7" t="s">
        <v>422</v>
      </c>
      <c r="D53" s="93" t="s">
        <v>398</v>
      </c>
      <c r="E53" s="34" t="s">
        <v>519</v>
      </c>
      <c r="F53" s="340">
        <f>'[1]CALCUL CONSO'!N16</f>
        <v>-0.40514798044446138</v>
      </c>
      <c r="G53" s="338">
        <f>'[1]CALCUL CONSO'!O16</f>
        <v>-0.33409613678860689</v>
      </c>
      <c r="H53" s="339">
        <v>0.20419492940070716</v>
      </c>
      <c r="I53" s="340">
        <v>0.29315172568708303</v>
      </c>
      <c r="J53" s="339">
        <v>0.31680600096874889</v>
      </c>
      <c r="K53" s="340">
        <v>-0.17472390086997572</v>
      </c>
      <c r="L53" s="339">
        <v>-0.11462065960018271</v>
      </c>
      <c r="M53" s="293">
        <v>0.42413988737633324</v>
      </c>
      <c r="N53" s="292">
        <v>-0.74706430435837434</v>
      </c>
      <c r="O53" s="292">
        <v>0.41742055735225519</v>
      </c>
      <c r="P53" s="292">
        <v>-0.33142702676015917</v>
      </c>
      <c r="Q53" s="382">
        <v>0.12004249927002612</v>
      </c>
    </row>
    <row r="54" spans="1:17" s="6" customFormat="1" ht="40.5" customHeight="1" x14ac:dyDescent="0.3">
      <c r="A54" s="818"/>
      <c r="B54" s="5" t="s">
        <v>423</v>
      </c>
      <c r="C54" s="7" t="s">
        <v>424</v>
      </c>
      <c r="D54" s="93" t="s">
        <v>96</v>
      </c>
      <c r="E54" s="34" t="s">
        <v>519</v>
      </c>
      <c r="F54" s="343">
        <v>1</v>
      </c>
      <c r="G54" s="339">
        <v>1</v>
      </c>
      <c r="H54" s="339">
        <v>1</v>
      </c>
      <c r="I54" s="339">
        <v>1</v>
      </c>
      <c r="J54" s="339">
        <v>1</v>
      </c>
      <c r="K54" s="339">
        <v>1</v>
      </c>
      <c r="L54" s="292">
        <v>1</v>
      </c>
      <c r="M54" s="292">
        <v>1</v>
      </c>
      <c r="N54" s="292">
        <v>1</v>
      </c>
      <c r="O54" s="292">
        <v>1</v>
      </c>
      <c r="P54" s="292">
        <v>1</v>
      </c>
      <c r="Q54" s="382">
        <v>1</v>
      </c>
    </row>
    <row r="55" spans="1:17" s="6" customFormat="1" ht="40.5" customHeight="1" x14ac:dyDescent="0.3">
      <c r="A55" s="818"/>
      <c r="B55" s="13" t="s">
        <v>425</v>
      </c>
      <c r="C55" s="54" t="s">
        <v>426</v>
      </c>
      <c r="D55" s="261" t="s">
        <v>96</v>
      </c>
      <c r="E55" s="35" t="s">
        <v>519</v>
      </c>
      <c r="F55" s="343">
        <v>0</v>
      </c>
      <c r="G55" s="339">
        <v>0</v>
      </c>
      <c r="H55" s="339">
        <v>0</v>
      </c>
      <c r="I55" s="339">
        <v>0.1</v>
      </c>
      <c r="J55" s="339">
        <v>1</v>
      </c>
      <c r="K55" s="339">
        <v>1</v>
      </c>
      <c r="L55" s="292">
        <v>1</v>
      </c>
      <c r="M55" s="292">
        <v>1</v>
      </c>
      <c r="N55" s="292">
        <v>1</v>
      </c>
      <c r="O55" s="292">
        <v>1</v>
      </c>
      <c r="P55" s="292">
        <v>1</v>
      </c>
      <c r="Q55" s="382">
        <v>1</v>
      </c>
    </row>
    <row r="56" spans="1:17" ht="49.5" customHeight="1" x14ac:dyDescent="0.3">
      <c r="A56" s="196" t="s">
        <v>134</v>
      </c>
      <c r="B56" s="265" t="s">
        <v>427</v>
      </c>
      <c r="C56" s="264" t="s">
        <v>428</v>
      </c>
      <c r="D56" s="267" t="s">
        <v>406</v>
      </c>
      <c r="E56" s="363" t="s">
        <v>508</v>
      </c>
      <c r="F56" s="1129">
        <v>0.83</v>
      </c>
      <c r="G56" s="1130"/>
      <c r="H56" s="1130"/>
      <c r="I56" s="1130"/>
      <c r="J56" s="1130"/>
      <c r="K56" s="1130"/>
      <c r="L56" s="1130"/>
      <c r="M56" s="1130"/>
      <c r="N56" s="1130"/>
      <c r="O56" s="1130"/>
      <c r="P56" s="1130"/>
      <c r="Q56" s="1131"/>
    </row>
    <row r="57" spans="1:17" s="6" customFormat="1" ht="42" customHeight="1" x14ac:dyDescent="0.3">
      <c r="A57" s="817" t="s">
        <v>254</v>
      </c>
      <c r="B57" s="12" t="s">
        <v>429</v>
      </c>
      <c r="C57" s="268" t="s">
        <v>430</v>
      </c>
      <c r="D57" s="76" t="s">
        <v>431</v>
      </c>
      <c r="E57" s="351" t="s">
        <v>519</v>
      </c>
      <c r="F57" s="436">
        <v>9.6874999999999999E-3</v>
      </c>
      <c r="G57" s="437">
        <v>1.1111111111111112E-2</v>
      </c>
      <c r="H57" s="431">
        <v>1.2314814814814815E-2</v>
      </c>
      <c r="I57" s="431">
        <v>1.0497685185185186E-2</v>
      </c>
      <c r="J57" s="438" t="s">
        <v>560</v>
      </c>
      <c r="K57" s="439" t="s">
        <v>561</v>
      </c>
      <c r="L57" s="439" t="s">
        <v>562</v>
      </c>
      <c r="M57" s="439" t="s">
        <v>563</v>
      </c>
      <c r="N57" s="439" t="s">
        <v>564</v>
      </c>
      <c r="O57" s="431">
        <v>1.0358796296296295E-2</v>
      </c>
      <c r="P57" s="431">
        <v>1.1458333333333334E-2</v>
      </c>
      <c r="Q57" s="432">
        <v>1.1608796296296296E-2</v>
      </c>
    </row>
    <row r="58" spans="1:17" s="6" customFormat="1" ht="42" customHeight="1" x14ac:dyDescent="0.3">
      <c r="A58" s="818"/>
      <c r="B58" s="5" t="s">
        <v>429</v>
      </c>
      <c r="C58" s="394" t="s">
        <v>432</v>
      </c>
      <c r="D58" s="77" t="s">
        <v>433</v>
      </c>
      <c r="E58" s="352" t="s">
        <v>519</v>
      </c>
      <c r="F58" s="433" t="s">
        <v>555</v>
      </c>
      <c r="G58" s="434" t="s">
        <v>555</v>
      </c>
      <c r="H58" s="434" t="s">
        <v>555</v>
      </c>
      <c r="I58" s="435">
        <v>1.1226851851851854E-2</v>
      </c>
      <c r="J58" s="440" t="s">
        <v>565</v>
      </c>
      <c r="K58" s="441" t="s">
        <v>566</v>
      </c>
      <c r="L58" s="441" t="s">
        <v>567</v>
      </c>
      <c r="M58" s="441" t="s">
        <v>568</v>
      </c>
      <c r="N58" s="441" t="s">
        <v>569</v>
      </c>
      <c r="O58" s="441" t="s">
        <v>570</v>
      </c>
      <c r="P58" s="441" t="s">
        <v>587</v>
      </c>
      <c r="Q58" s="442" t="s">
        <v>588</v>
      </c>
    </row>
    <row r="59" spans="1:17" s="6" customFormat="1" ht="42" customHeight="1" x14ac:dyDescent="0.3">
      <c r="A59" s="819"/>
      <c r="B59" s="8" t="s">
        <v>434</v>
      </c>
      <c r="C59" s="394" t="s">
        <v>435</v>
      </c>
      <c r="D59" s="77" t="s">
        <v>436</v>
      </c>
      <c r="E59" s="353" t="s">
        <v>513</v>
      </c>
      <c r="F59" s="1057">
        <v>0.75</v>
      </c>
      <c r="G59" s="1057"/>
      <c r="H59" s="1057"/>
      <c r="I59" s="1057"/>
      <c r="J59" s="1057"/>
      <c r="K59" s="1058"/>
      <c r="L59" s="1122">
        <v>0.77</v>
      </c>
      <c r="M59" s="1057"/>
      <c r="N59" s="1057"/>
      <c r="O59" s="1057"/>
      <c r="P59" s="1057"/>
      <c r="Q59" s="1123"/>
    </row>
    <row r="60" spans="1:17" s="6" customFormat="1" ht="45" customHeight="1" x14ac:dyDescent="0.3">
      <c r="A60" s="817" t="s">
        <v>253</v>
      </c>
      <c r="B60" s="12" t="s">
        <v>437</v>
      </c>
      <c r="C60" s="12" t="s">
        <v>438</v>
      </c>
      <c r="D60" s="76" t="s">
        <v>439</v>
      </c>
      <c r="E60" s="36" t="s">
        <v>519</v>
      </c>
      <c r="F60" s="499">
        <v>0.91017964071856283</v>
      </c>
      <c r="G60" s="400">
        <v>0.95833333333333337</v>
      </c>
      <c r="H60" s="400">
        <v>0.96022727272727271</v>
      </c>
      <c r="I60" s="400">
        <v>0.91017964071856283</v>
      </c>
      <c r="J60" s="400">
        <v>0.96791443850267378</v>
      </c>
      <c r="K60" s="406">
        <v>0.92222222222222228</v>
      </c>
      <c r="L60" s="406">
        <v>0.92727272727272725</v>
      </c>
      <c r="M60" s="406">
        <v>0.94306049822064053</v>
      </c>
      <c r="N60" s="406">
        <v>0.95</v>
      </c>
      <c r="O60" s="406">
        <v>0.87555555555555553</v>
      </c>
      <c r="P60" s="400">
        <f>223/243</f>
        <v>0.91769547325102885</v>
      </c>
      <c r="Q60" s="443" t="s">
        <v>555</v>
      </c>
    </row>
    <row r="61" spans="1:17" s="6" customFormat="1" ht="45" customHeight="1" x14ac:dyDescent="0.3">
      <c r="A61" s="818"/>
      <c r="B61" s="5" t="s">
        <v>440</v>
      </c>
      <c r="C61" s="5" t="s">
        <v>441</v>
      </c>
      <c r="D61" s="77" t="s">
        <v>442</v>
      </c>
      <c r="E61" s="34" t="s">
        <v>519</v>
      </c>
      <c r="F61" s="411">
        <v>0.67241379310344829</v>
      </c>
      <c r="G61" s="406">
        <v>0.74358974358974361</v>
      </c>
      <c r="H61" s="406">
        <v>0.75</v>
      </c>
      <c r="I61" s="412">
        <v>0.64179104477611937</v>
      </c>
      <c r="J61" s="412">
        <v>0.53846153846153844</v>
      </c>
      <c r="K61" s="412">
        <v>0.42857142857142855</v>
      </c>
      <c r="L61" s="412">
        <v>0.48</v>
      </c>
      <c r="M61" s="412">
        <v>0.51063829787234039</v>
      </c>
      <c r="N61" s="412">
        <v>0.48148148148148145</v>
      </c>
      <c r="O61" s="412">
        <v>0.38571428571428573</v>
      </c>
      <c r="P61" s="406">
        <v>0.9609544468546638</v>
      </c>
      <c r="Q61" s="464">
        <f>397/468</f>
        <v>0.84829059829059827</v>
      </c>
    </row>
    <row r="62" spans="1:17" s="6" customFormat="1" ht="45" customHeight="1" x14ac:dyDescent="0.3">
      <c r="A62" s="818"/>
      <c r="B62" s="5" t="s">
        <v>443</v>
      </c>
      <c r="C62" s="5" t="s">
        <v>444</v>
      </c>
      <c r="D62" s="77" t="s">
        <v>448</v>
      </c>
      <c r="E62" s="34" t="s">
        <v>519</v>
      </c>
      <c r="F62" s="411">
        <v>0.33333333333333331</v>
      </c>
      <c r="G62" s="412">
        <v>0.5</v>
      </c>
      <c r="H62" s="412">
        <v>0.31578947368421051</v>
      </c>
      <c r="I62" s="412">
        <v>0.25</v>
      </c>
      <c r="J62" s="406">
        <v>0.90990990990990994</v>
      </c>
      <c r="K62" s="406">
        <v>0.77192982456140347</v>
      </c>
      <c r="L62" s="412">
        <v>0.67333333333333334</v>
      </c>
      <c r="M62" s="406">
        <v>0.88666666666666671</v>
      </c>
      <c r="N62" s="406">
        <v>0.92622950819672134</v>
      </c>
      <c r="O62" s="406">
        <v>0.91558441558441561</v>
      </c>
      <c r="P62" s="406">
        <f>130/138</f>
        <v>0.94202898550724634</v>
      </c>
      <c r="Q62" s="464">
        <f>127/143</f>
        <v>0.88811188811188813</v>
      </c>
    </row>
    <row r="63" spans="1:17" s="6" customFormat="1" ht="45" customHeight="1" x14ac:dyDescent="0.3">
      <c r="A63" s="818"/>
      <c r="B63" s="209" t="s">
        <v>445</v>
      </c>
      <c r="C63" s="209" t="s">
        <v>446</v>
      </c>
      <c r="D63" s="77" t="s">
        <v>447</v>
      </c>
      <c r="E63" s="34" t="s">
        <v>519</v>
      </c>
      <c r="F63" s="443" t="s">
        <v>555</v>
      </c>
      <c r="G63" s="443" t="s">
        <v>555</v>
      </c>
      <c r="H63" s="412">
        <v>0.5</v>
      </c>
      <c r="I63" s="412">
        <v>0.46875</v>
      </c>
      <c r="J63" s="412">
        <v>0.47826086956521741</v>
      </c>
      <c r="K63" s="412">
        <v>0.54545454545454541</v>
      </c>
      <c r="L63" s="412">
        <v>0.45544554455445546</v>
      </c>
      <c r="M63" s="412">
        <v>0.46296296296296297</v>
      </c>
      <c r="N63" s="412">
        <v>0.37962962962962965</v>
      </c>
      <c r="O63" s="412">
        <v>0.50427350427350426</v>
      </c>
      <c r="P63" s="412">
        <v>0.7289719626168224</v>
      </c>
      <c r="Q63" s="500">
        <f>46/140</f>
        <v>0.32857142857142857</v>
      </c>
    </row>
    <row r="64" spans="1:17" s="6" customFormat="1" ht="45" customHeight="1" x14ac:dyDescent="0.3">
      <c r="A64" s="819"/>
      <c r="B64" s="208" t="s">
        <v>434</v>
      </c>
      <c r="C64" s="208" t="s">
        <v>435</v>
      </c>
      <c r="D64" s="87" t="s">
        <v>398</v>
      </c>
      <c r="E64" s="37" t="s">
        <v>513</v>
      </c>
      <c r="F64" s="1057">
        <v>0.72</v>
      </c>
      <c r="G64" s="1109"/>
      <c r="H64" s="1109"/>
      <c r="I64" s="1109"/>
      <c r="J64" s="1109"/>
      <c r="K64" s="1110"/>
      <c r="L64" s="1108">
        <v>0.77</v>
      </c>
      <c r="M64" s="1109"/>
      <c r="N64" s="1109"/>
      <c r="O64" s="1109"/>
      <c r="P64" s="1109"/>
      <c r="Q64" s="1118"/>
    </row>
    <row r="65" spans="1:19" s="6" customFormat="1" ht="48" customHeight="1" x14ac:dyDescent="0.3">
      <c r="A65" s="817" t="s">
        <v>31</v>
      </c>
      <c r="B65" s="12" t="s">
        <v>449</v>
      </c>
      <c r="C65" s="12" t="s">
        <v>450</v>
      </c>
      <c r="D65" s="76" t="s">
        <v>451</v>
      </c>
      <c r="E65" s="36" t="s">
        <v>511</v>
      </c>
      <c r="F65" s="444">
        <f>0.03/260*100</f>
        <v>1.1538461538461537E-2</v>
      </c>
      <c r="G65" s="444">
        <f>5.5%/260*100</f>
        <v>2.1153846153846155E-2</v>
      </c>
      <c r="H65" s="444">
        <f>6.5%/260*100</f>
        <v>2.5000000000000001E-2</v>
      </c>
      <c r="I65" s="341">
        <f>10%/260*100</f>
        <v>3.8461538461538464E-2</v>
      </c>
      <c r="J65" s="341">
        <f>11.5%/260*100</f>
        <v>4.4230769230769233E-2</v>
      </c>
      <c r="K65" s="444">
        <f>14.5%/260*100</f>
        <v>5.5769230769230765E-2</v>
      </c>
      <c r="L65" s="444">
        <f>18.5%/260*100</f>
        <v>7.1153846153846151E-2</v>
      </c>
      <c r="M65" s="444">
        <v>8.0799999999999997E-2</v>
      </c>
      <c r="N65" s="444">
        <f>23%/260*100</f>
        <v>8.8461538461538466E-2</v>
      </c>
      <c r="O65" s="444">
        <v>9.2307692307692313E-2</v>
      </c>
      <c r="P65" s="341">
        <v>9.6153846153846159E-2</v>
      </c>
      <c r="Q65" s="445">
        <v>0.1096</v>
      </c>
      <c r="R65" s="392" t="s">
        <v>554</v>
      </c>
      <c r="S65" s="6">
        <v>6.12</v>
      </c>
    </row>
    <row r="66" spans="1:19" s="6" customFormat="1" ht="48" customHeight="1" x14ac:dyDescent="0.3">
      <c r="A66" s="818"/>
      <c r="B66" s="5" t="s">
        <v>544</v>
      </c>
      <c r="C66" s="5" t="s">
        <v>452</v>
      </c>
      <c r="D66" s="77" t="s">
        <v>96</v>
      </c>
      <c r="E66" s="34" t="s">
        <v>512</v>
      </c>
      <c r="F66" s="1106">
        <v>1</v>
      </c>
      <c r="G66" s="1107"/>
      <c r="H66" s="1107"/>
      <c r="I66" s="1106">
        <f>3/10</f>
        <v>0.3</v>
      </c>
      <c r="J66" s="1107"/>
      <c r="K66" s="1107"/>
      <c r="L66" s="1106">
        <f>6/7</f>
        <v>0.8571428571428571</v>
      </c>
      <c r="M66" s="1107"/>
      <c r="N66" s="1107"/>
      <c r="O66" s="1106">
        <f>8/14</f>
        <v>0.5714285714285714</v>
      </c>
      <c r="P66" s="1107"/>
      <c r="Q66" s="1117"/>
      <c r="R66" s="393" t="s">
        <v>581</v>
      </c>
    </row>
    <row r="67" spans="1:19" s="6" customFormat="1" ht="48" customHeight="1" x14ac:dyDescent="0.3">
      <c r="A67" s="818"/>
      <c r="B67" s="5" t="s">
        <v>453</v>
      </c>
      <c r="C67" s="5" t="s">
        <v>454</v>
      </c>
      <c r="D67" s="77" t="s">
        <v>457</v>
      </c>
      <c r="E67" s="34" t="s">
        <v>508</v>
      </c>
      <c r="F67" s="1101">
        <f>1-91.09%</f>
        <v>8.9099999999999957E-2</v>
      </c>
      <c r="G67" s="1101"/>
      <c r="H67" s="1101"/>
      <c r="I67" s="1101"/>
      <c r="J67" s="1101"/>
      <c r="K67" s="1101"/>
      <c r="L67" s="1101"/>
      <c r="M67" s="1101"/>
      <c r="N67" s="1101"/>
      <c r="O67" s="1101"/>
      <c r="P67" s="1101"/>
      <c r="Q67" s="1102"/>
    </row>
    <row r="68" spans="1:19" s="6" customFormat="1" ht="48" customHeight="1" x14ac:dyDescent="0.3">
      <c r="A68" s="819"/>
      <c r="B68" s="8" t="s">
        <v>455</v>
      </c>
      <c r="C68" s="8" t="s">
        <v>456</v>
      </c>
      <c r="D68" s="87" t="s">
        <v>545</v>
      </c>
      <c r="E68" s="37" t="s">
        <v>512</v>
      </c>
      <c r="F68" s="1108">
        <v>0</v>
      </c>
      <c r="G68" s="1109"/>
      <c r="H68" s="1109"/>
      <c r="I68" s="1108">
        <v>0</v>
      </c>
      <c r="J68" s="1109"/>
      <c r="K68" s="1110"/>
      <c r="L68" s="1108">
        <v>0</v>
      </c>
      <c r="M68" s="1109"/>
      <c r="N68" s="1110"/>
      <c r="O68" s="1108">
        <v>0</v>
      </c>
      <c r="P68" s="1109"/>
      <c r="Q68" s="1118"/>
    </row>
    <row r="69" spans="1:19" s="6" customFormat="1" ht="42.75" customHeight="1" x14ac:dyDescent="0.3">
      <c r="A69" s="863" t="s">
        <v>17</v>
      </c>
      <c r="B69" s="12" t="s">
        <v>458</v>
      </c>
      <c r="C69" s="12" t="s">
        <v>459</v>
      </c>
      <c r="D69" s="36" t="s">
        <v>460</v>
      </c>
      <c r="E69" s="351" t="s">
        <v>511</v>
      </c>
      <c r="F69" s="268">
        <v>0</v>
      </c>
      <c r="G69" s="12">
        <v>0</v>
      </c>
      <c r="H69" s="12">
        <v>0</v>
      </c>
      <c r="I69" s="366">
        <v>0</v>
      </c>
      <c r="J69" s="366">
        <v>0</v>
      </c>
      <c r="K69" s="366">
        <v>0</v>
      </c>
      <c r="L69" s="366">
        <v>0</v>
      </c>
      <c r="M69" s="366">
        <v>0</v>
      </c>
      <c r="N69" s="366">
        <v>0</v>
      </c>
      <c r="O69" s="366">
        <v>0</v>
      </c>
      <c r="P69" s="366">
        <v>0</v>
      </c>
      <c r="Q69" s="446">
        <v>0</v>
      </c>
    </row>
    <row r="70" spans="1:19" s="6" customFormat="1" ht="42.75" customHeight="1" x14ac:dyDescent="0.3">
      <c r="A70" s="865"/>
      <c r="B70" s="8" t="s">
        <v>461</v>
      </c>
      <c r="C70" s="8" t="s">
        <v>462</v>
      </c>
      <c r="D70" s="37" t="s">
        <v>463</v>
      </c>
      <c r="E70" s="354" t="s">
        <v>511</v>
      </c>
      <c r="F70" s="396">
        <v>0.57999999999999996</v>
      </c>
      <c r="G70" s="8">
        <v>0</v>
      </c>
      <c r="H70" s="8">
        <v>0</v>
      </c>
      <c r="I70" s="364">
        <v>0</v>
      </c>
      <c r="J70" s="364">
        <v>0</v>
      </c>
      <c r="K70" s="364">
        <v>0</v>
      </c>
      <c r="L70" s="364">
        <v>0</v>
      </c>
      <c r="M70" s="364">
        <v>0</v>
      </c>
      <c r="N70" s="364">
        <v>0</v>
      </c>
      <c r="O70" s="364">
        <v>0</v>
      </c>
      <c r="P70" s="364">
        <v>0</v>
      </c>
      <c r="Q70" s="447">
        <v>0</v>
      </c>
    </row>
    <row r="71" spans="1:19" s="6" customFormat="1" ht="44.25" customHeight="1" x14ac:dyDescent="0.3">
      <c r="A71" s="817" t="s">
        <v>1</v>
      </c>
      <c r="B71" s="12" t="s">
        <v>464</v>
      </c>
      <c r="C71" s="12" t="s">
        <v>465</v>
      </c>
      <c r="D71" s="36" t="s">
        <v>466</v>
      </c>
      <c r="E71" s="351" t="s">
        <v>513</v>
      </c>
      <c r="F71" s="1111">
        <v>1</v>
      </c>
      <c r="G71" s="1111"/>
      <c r="H71" s="1111"/>
      <c r="I71" s="1111"/>
      <c r="J71" s="1111"/>
      <c r="K71" s="1112"/>
      <c r="L71" s="1012">
        <v>1</v>
      </c>
      <c r="M71" s="1113"/>
      <c r="N71" s="1113"/>
      <c r="O71" s="1113"/>
      <c r="P71" s="1113"/>
      <c r="Q71" s="1114"/>
    </row>
    <row r="72" spans="1:19" s="6" customFormat="1" ht="37.5" customHeight="1" x14ac:dyDescent="0.3">
      <c r="A72" s="818"/>
      <c r="B72" s="8" t="s">
        <v>467</v>
      </c>
      <c r="C72" s="8" t="s">
        <v>468</v>
      </c>
      <c r="D72" s="37" t="s">
        <v>469</v>
      </c>
      <c r="E72" s="354" t="s">
        <v>508</v>
      </c>
      <c r="F72" s="1115">
        <v>0.8</v>
      </c>
      <c r="G72" s="1115"/>
      <c r="H72" s="1115"/>
      <c r="I72" s="1115"/>
      <c r="J72" s="1115"/>
      <c r="K72" s="1115"/>
      <c r="L72" s="1115"/>
      <c r="M72" s="1115"/>
      <c r="N72" s="1115"/>
      <c r="O72" s="1115"/>
      <c r="P72" s="1115"/>
      <c r="Q72" s="1116"/>
    </row>
    <row r="73" spans="1:19" s="6" customFormat="1" ht="45" customHeight="1" x14ac:dyDescent="0.3">
      <c r="A73" s="817" t="s">
        <v>412</v>
      </c>
      <c r="B73" s="12" t="s">
        <v>470</v>
      </c>
      <c r="C73" s="12" t="s">
        <v>471</v>
      </c>
      <c r="D73" s="170" t="s">
        <v>472</v>
      </c>
      <c r="E73" s="351" t="s">
        <v>511</v>
      </c>
      <c r="F73" s="448">
        <v>2200</v>
      </c>
      <c r="G73" s="12">
        <v>1000</v>
      </c>
      <c r="H73" s="12">
        <v>0</v>
      </c>
      <c r="I73" s="12">
        <v>20</v>
      </c>
      <c r="J73" s="12">
        <v>700</v>
      </c>
      <c r="K73" s="449">
        <v>2600</v>
      </c>
      <c r="L73" s="12">
        <v>100</v>
      </c>
      <c r="M73" s="12">
        <v>0</v>
      </c>
      <c r="N73" s="12">
        <v>0</v>
      </c>
      <c r="O73" s="395">
        <v>0</v>
      </c>
      <c r="P73" s="395">
        <v>1000</v>
      </c>
      <c r="Q73" s="450">
        <v>2600</v>
      </c>
    </row>
    <row r="74" spans="1:19" s="6" customFormat="1" ht="45" customHeight="1" x14ac:dyDescent="0.3">
      <c r="A74" s="818"/>
      <c r="B74" s="5" t="s">
        <v>473</v>
      </c>
      <c r="C74" s="5" t="s">
        <v>474</v>
      </c>
      <c r="D74" s="93" t="s">
        <v>406</v>
      </c>
      <c r="E74" s="352" t="s">
        <v>512</v>
      </c>
      <c r="F74" s="1053">
        <v>1</v>
      </c>
      <c r="G74" s="1053"/>
      <c r="H74" s="1054"/>
      <c r="I74" s="1044">
        <v>0.8</v>
      </c>
      <c r="J74" s="852"/>
      <c r="K74" s="853"/>
      <c r="L74" s="1044">
        <v>0.8</v>
      </c>
      <c r="M74" s="852"/>
      <c r="N74" s="853"/>
      <c r="O74" s="1119">
        <v>1</v>
      </c>
      <c r="P74" s="1120"/>
      <c r="Q74" s="1121"/>
    </row>
    <row r="75" spans="1:19" s="6" customFormat="1" ht="45" customHeight="1" x14ac:dyDescent="0.3">
      <c r="A75" s="818"/>
      <c r="B75" s="5" t="s">
        <v>475</v>
      </c>
      <c r="C75" s="5" t="s">
        <v>189</v>
      </c>
      <c r="D75" s="93" t="s">
        <v>96</v>
      </c>
      <c r="E75" s="352" t="s">
        <v>547</v>
      </c>
      <c r="F75" s="1051">
        <v>0.75</v>
      </c>
      <c r="G75" s="1085"/>
      <c r="H75" s="1085"/>
      <c r="I75" s="1085"/>
      <c r="J75" s="1085"/>
      <c r="K75" s="1085"/>
      <c r="L75" s="1085"/>
      <c r="M75" s="1085"/>
      <c r="N75" s="1085"/>
      <c r="O75" s="1085"/>
      <c r="P75" s="1085"/>
      <c r="Q75" s="1086"/>
    </row>
    <row r="76" spans="1:19" s="6" customFormat="1" ht="45" customHeight="1" x14ac:dyDescent="0.3">
      <c r="A76" s="819"/>
      <c r="B76" s="8" t="s">
        <v>476</v>
      </c>
      <c r="C76" s="8" t="s">
        <v>190</v>
      </c>
      <c r="D76" s="172" t="s">
        <v>96</v>
      </c>
      <c r="E76" s="354" t="s">
        <v>547</v>
      </c>
      <c r="F76" s="1103">
        <v>0.5</v>
      </c>
      <c r="G76" s="1104"/>
      <c r="H76" s="1104"/>
      <c r="I76" s="1104"/>
      <c r="J76" s="1104"/>
      <c r="K76" s="1104"/>
      <c r="L76" s="1104"/>
      <c r="M76" s="1104"/>
      <c r="N76" s="1104"/>
      <c r="O76" s="1104"/>
      <c r="P76" s="1104"/>
      <c r="Q76" s="1105"/>
    </row>
    <row r="77" spans="1:19" s="6" customFormat="1" ht="28.8" x14ac:dyDescent="0.3">
      <c r="A77" s="1132" t="s">
        <v>56</v>
      </c>
      <c r="B77" s="1133" t="s">
        <v>526</v>
      </c>
      <c r="C77" s="366" t="s">
        <v>527</v>
      </c>
      <c r="D77" s="367">
        <v>0.95</v>
      </c>
      <c r="E77" s="36" t="s">
        <v>519</v>
      </c>
      <c r="F77" s="344">
        <v>1</v>
      </c>
      <c r="G77" s="341" t="s">
        <v>528</v>
      </c>
      <c r="H77" s="341">
        <v>1</v>
      </c>
      <c r="I77" s="383">
        <v>1</v>
      </c>
      <c r="J77" s="383">
        <v>1</v>
      </c>
      <c r="K77" s="383">
        <v>1</v>
      </c>
      <c r="L77" s="383">
        <v>1</v>
      </c>
      <c r="M77" s="383">
        <v>1</v>
      </c>
      <c r="N77" s="383">
        <v>1</v>
      </c>
      <c r="O77" s="383">
        <v>1</v>
      </c>
      <c r="P77" s="383">
        <v>1</v>
      </c>
      <c r="Q77" s="383">
        <v>1</v>
      </c>
    </row>
    <row r="78" spans="1:19" s="6" customFormat="1" ht="53.25" customHeight="1" x14ac:dyDescent="0.3">
      <c r="A78" s="947"/>
      <c r="B78" s="1134"/>
      <c r="C78" s="328" t="s">
        <v>529</v>
      </c>
      <c r="D78" s="329">
        <v>0.95</v>
      </c>
      <c r="E78" s="34" t="s">
        <v>512</v>
      </c>
      <c r="F78" s="1136">
        <v>1</v>
      </c>
      <c r="G78" s="1136"/>
      <c r="H78" s="1137"/>
      <c r="I78" s="1138">
        <v>1</v>
      </c>
      <c r="J78" s="1136"/>
      <c r="K78" s="1137"/>
      <c r="L78" s="1138">
        <v>1</v>
      </c>
      <c r="M78" s="1136"/>
      <c r="N78" s="1137"/>
      <c r="O78" s="1138">
        <v>1</v>
      </c>
      <c r="P78" s="1136"/>
      <c r="Q78" s="1137"/>
    </row>
    <row r="79" spans="1:19" s="6" customFormat="1" ht="40.5" customHeight="1" x14ac:dyDescent="0.3">
      <c r="A79" s="947"/>
      <c r="B79" s="1134" t="s">
        <v>530</v>
      </c>
      <c r="C79" s="328" t="s">
        <v>531</v>
      </c>
      <c r="D79" s="329">
        <v>0.95</v>
      </c>
      <c r="E79" s="34" t="s">
        <v>519</v>
      </c>
      <c r="F79" s="379">
        <v>0.99519999999999997</v>
      </c>
      <c r="G79" s="383">
        <v>0.95520000000000005</v>
      </c>
      <c r="H79" s="383">
        <v>0.97819999999999996</v>
      </c>
      <c r="I79" s="377">
        <v>0.91169999999999995</v>
      </c>
      <c r="J79" s="377">
        <v>0.8861</v>
      </c>
      <c r="K79" s="383">
        <v>0.99319999999999997</v>
      </c>
      <c r="L79" s="377">
        <v>0.875</v>
      </c>
      <c r="M79" s="377">
        <v>0.88439999999999996</v>
      </c>
      <c r="N79" s="383">
        <v>0.99350000000000005</v>
      </c>
      <c r="O79" s="383">
        <v>0.99560000000000004</v>
      </c>
      <c r="P79" s="383">
        <v>0.99150000000000005</v>
      </c>
      <c r="Q79" s="377">
        <v>0.93049999999999999</v>
      </c>
    </row>
    <row r="80" spans="1:19" s="6" customFormat="1" ht="39" customHeight="1" x14ac:dyDescent="0.3">
      <c r="A80" s="947"/>
      <c r="B80" s="1134"/>
      <c r="C80" s="457" t="s">
        <v>576</v>
      </c>
      <c r="D80" s="458"/>
      <c r="E80" s="35"/>
      <c r="F80" s="459"/>
      <c r="G80" s="460"/>
      <c r="H80" s="460"/>
      <c r="I80" s="461"/>
      <c r="J80" s="461"/>
      <c r="K80" s="461"/>
      <c r="L80" s="461"/>
      <c r="M80" s="462"/>
      <c r="N80" s="131"/>
      <c r="O80" s="463"/>
      <c r="P80" s="463"/>
      <c r="Q80" s="463"/>
    </row>
    <row r="81" spans="1:17" s="6" customFormat="1" ht="48.75" customHeight="1" x14ac:dyDescent="0.3">
      <c r="A81" s="947"/>
      <c r="B81" s="1134"/>
      <c r="C81" s="451" t="s">
        <v>532</v>
      </c>
      <c r="D81" s="452" t="s">
        <v>577</v>
      </c>
      <c r="E81" s="33" t="s">
        <v>519</v>
      </c>
      <c r="F81" s="453">
        <v>0</v>
      </c>
      <c r="G81" s="454">
        <v>0</v>
      </c>
      <c r="H81" s="454">
        <v>0</v>
      </c>
      <c r="I81" s="455">
        <v>0</v>
      </c>
      <c r="J81" s="456">
        <v>1</v>
      </c>
      <c r="K81" s="456">
        <v>1</v>
      </c>
      <c r="L81" s="456">
        <v>1</v>
      </c>
      <c r="M81" s="456">
        <v>1</v>
      </c>
      <c r="N81" s="456">
        <v>1</v>
      </c>
      <c r="O81" s="456">
        <v>1</v>
      </c>
      <c r="P81" s="456">
        <v>1</v>
      </c>
      <c r="Q81" s="456">
        <v>1</v>
      </c>
    </row>
    <row r="82" spans="1:17" s="6" customFormat="1" ht="48.75" customHeight="1" x14ac:dyDescent="0.3">
      <c r="A82" s="947"/>
      <c r="B82" s="1134"/>
      <c r="C82" s="330" t="s">
        <v>533</v>
      </c>
      <c r="D82" s="331" t="s">
        <v>578</v>
      </c>
      <c r="E82" s="34" t="s">
        <v>519</v>
      </c>
      <c r="F82" s="345">
        <v>2</v>
      </c>
      <c r="G82" s="332">
        <v>1</v>
      </c>
      <c r="H82" s="332">
        <v>2</v>
      </c>
      <c r="I82" s="377">
        <v>0.33329999999999999</v>
      </c>
      <c r="J82" s="377">
        <v>0.66669999999999996</v>
      </c>
      <c r="K82" s="383">
        <v>1</v>
      </c>
      <c r="L82" s="377">
        <v>0.625</v>
      </c>
      <c r="M82" s="383">
        <v>1</v>
      </c>
      <c r="N82" s="377">
        <v>0</v>
      </c>
      <c r="O82" s="383">
        <v>1</v>
      </c>
      <c r="P82" s="377">
        <v>0</v>
      </c>
      <c r="Q82" s="377">
        <v>0.5</v>
      </c>
    </row>
    <row r="83" spans="1:17" s="6" customFormat="1" ht="48.75" customHeight="1" x14ac:dyDescent="0.3">
      <c r="A83" s="947"/>
      <c r="B83" s="1134"/>
      <c r="C83" s="330" t="s">
        <v>534</v>
      </c>
      <c r="D83" s="331" t="s">
        <v>579</v>
      </c>
      <c r="E83" s="34" t="s">
        <v>519</v>
      </c>
      <c r="F83" s="345">
        <v>21</v>
      </c>
      <c r="G83" s="332">
        <v>39</v>
      </c>
      <c r="H83" s="332">
        <v>32</v>
      </c>
      <c r="I83" s="377">
        <v>0.54</v>
      </c>
      <c r="J83" s="383">
        <v>0.81369999999999998</v>
      </c>
      <c r="K83" s="377">
        <v>0.76270000000000004</v>
      </c>
      <c r="L83" s="377">
        <v>0.74860000000000004</v>
      </c>
      <c r="M83" s="377">
        <v>0.7419</v>
      </c>
      <c r="N83" s="377">
        <v>0.77859999999999996</v>
      </c>
      <c r="O83" s="377">
        <v>0.72499999999999998</v>
      </c>
      <c r="P83" s="383">
        <v>0.81489999999999996</v>
      </c>
      <c r="Q83" s="383">
        <v>0.81030000000000002</v>
      </c>
    </row>
    <row r="84" spans="1:17" ht="48.75" customHeight="1" x14ac:dyDescent="0.3">
      <c r="A84" s="947"/>
      <c r="B84" s="1134"/>
      <c r="C84" s="330" t="s">
        <v>535</v>
      </c>
      <c r="D84" s="331" t="s">
        <v>580</v>
      </c>
      <c r="E84" s="34" t="s">
        <v>519</v>
      </c>
      <c r="F84" s="345">
        <v>3</v>
      </c>
      <c r="G84" s="332">
        <v>3</v>
      </c>
      <c r="H84" s="332">
        <v>4</v>
      </c>
      <c r="I84" s="383">
        <v>0.8125</v>
      </c>
      <c r="J84" s="383">
        <v>0.83330000000000004</v>
      </c>
      <c r="K84" s="383">
        <v>0.79010000000000002</v>
      </c>
      <c r="L84" s="383">
        <v>0.84209999999999996</v>
      </c>
      <c r="M84" s="377">
        <v>0.7429</v>
      </c>
      <c r="N84" s="383">
        <v>1</v>
      </c>
      <c r="O84" s="383">
        <v>0.89470000000000005</v>
      </c>
      <c r="P84" s="383">
        <v>0.89280000000000004</v>
      </c>
      <c r="Q84" s="383">
        <v>0.89280000000000004</v>
      </c>
    </row>
    <row r="85" spans="1:17" ht="57.6" x14ac:dyDescent="0.3">
      <c r="A85" s="947"/>
      <c r="B85" s="337" t="s">
        <v>479</v>
      </c>
      <c r="C85" s="328" t="s">
        <v>536</v>
      </c>
      <c r="D85" s="331" t="s">
        <v>537</v>
      </c>
      <c r="E85" s="34" t="s">
        <v>519</v>
      </c>
      <c r="F85" s="346">
        <v>6</v>
      </c>
      <c r="G85" s="333">
        <f>45+(45-(200*45/100))</f>
        <v>0</v>
      </c>
      <c r="H85" s="333">
        <v>0</v>
      </c>
      <c r="I85" s="5">
        <v>20</v>
      </c>
      <c r="J85" s="5">
        <v>43</v>
      </c>
      <c r="K85" s="5">
        <v>0</v>
      </c>
      <c r="L85" s="378">
        <v>69</v>
      </c>
      <c r="M85" s="5">
        <v>0</v>
      </c>
      <c r="N85" s="378">
        <v>55</v>
      </c>
      <c r="O85" s="383">
        <v>0</v>
      </c>
      <c r="P85" s="383">
        <v>15</v>
      </c>
      <c r="Q85" s="383">
        <v>44</v>
      </c>
    </row>
    <row r="86" spans="1:17" ht="57.6" x14ac:dyDescent="0.3">
      <c r="A86" s="947"/>
      <c r="B86" s="337" t="s">
        <v>477</v>
      </c>
      <c r="C86" s="328" t="s">
        <v>536</v>
      </c>
      <c r="D86" s="331" t="s">
        <v>537</v>
      </c>
      <c r="E86" s="34" t="s">
        <v>519</v>
      </c>
      <c r="F86" s="347">
        <v>0</v>
      </c>
      <c r="G86" s="334">
        <v>0</v>
      </c>
      <c r="H86" s="334">
        <v>0</v>
      </c>
      <c r="I86" s="334">
        <v>0</v>
      </c>
      <c r="J86" s="334">
        <v>0</v>
      </c>
      <c r="K86" s="334">
        <v>0</v>
      </c>
      <c r="L86" s="334">
        <v>0</v>
      </c>
      <c r="M86" s="334">
        <v>0</v>
      </c>
      <c r="N86" s="334">
        <v>0</v>
      </c>
      <c r="O86" s="383">
        <v>0</v>
      </c>
      <c r="P86" s="383">
        <v>0</v>
      </c>
      <c r="Q86" s="383">
        <v>0</v>
      </c>
    </row>
    <row r="87" spans="1:17" ht="45.75" customHeight="1" x14ac:dyDescent="0.3">
      <c r="A87" s="947"/>
      <c r="B87" s="1134" t="s">
        <v>538</v>
      </c>
      <c r="C87" s="328" t="s">
        <v>478</v>
      </c>
      <c r="D87" s="331">
        <v>0</v>
      </c>
      <c r="E87" s="34" t="s">
        <v>512</v>
      </c>
      <c r="F87" s="1142">
        <v>0</v>
      </c>
      <c r="G87" s="1142"/>
      <c r="H87" s="1143"/>
      <c r="I87" s="5">
        <v>0</v>
      </c>
      <c r="J87" s="5">
        <v>0</v>
      </c>
      <c r="K87" s="5">
        <v>0</v>
      </c>
      <c r="L87" s="5">
        <v>0</v>
      </c>
      <c r="M87" s="5">
        <v>0</v>
      </c>
      <c r="N87" s="5">
        <v>0</v>
      </c>
      <c r="O87" s="5">
        <v>0</v>
      </c>
      <c r="P87" s="5">
        <v>0</v>
      </c>
      <c r="Q87" s="5">
        <v>0</v>
      </c>
    </row>
    <row r="88" spans="1:17" ht="43.2" x14ac:dyDescent="0.3">
      <c r="A88" s="948"/>
      <c r="B88" s="1135"/>
      <c r="C88" s="364" t="s">
        <v>539</v>
      </c>
      <c r="D88" s="365" t="s">
        <v>540</v>
      </c>
      <c r="E88" s="37" t="s">
        <v>512</v>
      </c>
      <c r="F88" s="1139">
        <v>0</v>
      </c>
      <c r="G88" s="1139"/>
      <c r="H88" s="1140"/>
      <c r="I88" s="1141">
        <v>0</v>
      </c>
      <c r="J88" s="1142"/>
      <c r="K88" s="1143"/>
      <c r="L88" s="1141">
        <v>0</v>
      </c>
      <c r="M88" s="1142"/>
      <c r="N88" s="1143"/>
      <c r="O88" s="1141">
        <v>0</v>
      </c>
      <c r="P88" s="1142"/>
      <c r="Q88" s="1143"/>
    </row>
    <row r="89" spans="1:17" ht="30.75" customHeight="1" x14ac:dyDescent="0.3"/>
    <row r="90" spans="1:17" ht="30.75" customHeight="1" x14ac:dyDescent="0.3"/>
    <row r="91" spans="1:17" ht="30.75" customHeight="1" x14ac:dyDescent="0.3"/>
    <row r="92" spans="1:17" ht="30.75" customHeight="1" x14ac:dyDescent="0.3"/>
    <row r="93" spans="1:17" ht="30.75" customHeight="1" x14ac:dyDescent="0.3"/>
    <row r="94" spans="1:17" ht="30.75" customHeight="1" x14ac:dyDescent="0.3"/>
    <row r="95" spans="1:17" ht="30.75" customHeight="1" x14ac:dyDescent="0.3"/>
    <row r="96" spans="1:17" ht="30.75" customHeight="1" x14ac:dyDescent="0.3"/>
    <row r="97" ht="30.75" customHeight="1" x14ac:dyDescent="0.3"/>
    <row r="98" ht="30.75" customHeight="1" x14ac:dyDescent="0.3"/>
    <row r="99" ht="30.75" customHeight="1" x14ac:dyDescent="0.3"/>
    <row r="100" ht="30.75" customHeight="1" x14ac:dyDescent="0.3"/>
    <row r="101" ht="30.75" customHeight="1" x14ac:dyDescent="0.3"/>
    <row r="102" ht="30.75" customHeight="1" x14ac:dyDescent="0.3"/>
    <row r="103" ht="30.75" customHeight="1" x14ac:dyDescent="0.3"/>
    <row r="104" ht="30.75" customHeight="1" x14ac:dyDescent="0.3"/>
    <row r="105" ht="30.75" customHeight="1" x14ac:dyDescent="0.3"/>
    <row r="106" ht="30.75" customHeight="1" x14ac:dyDescent="0.3"/>
    <row r="107" ht="30.75" customHeight="1" x14ac:dyDescent="0.3"/>
    <row r="108" ht="30.75" customHeight="1" x14ac:dyDescent="0.3"/>
    <row r="109" ht="30.75" customHeight="1" x14ac:dyDescent="0.3"/>
    <row r="110" ht="30.75" customHeight="1" x14ac:dyDescent="0.3"/>
    <row r="111" ht="30.75" customHeight="1" x14ac:dyDescent="0.3"/>
    <row r="112" ht="30.75" customHeight="1" x14ac:dyDescent="0.3"/>
    <row r="113" ht="30.75" customHeight="1" x14ac:dyDescent="0.3"/>
    <row r="114" ht="30.75" customHeight="1" x14ac:dyDescent="0.3"/>
    <row r="115" ht="30.75" customHeight="1" x14ac:dyDescent="0.3"/>
    <row r="116" ht="30.75" customHeight="1" x14ac:dyDescent="0.3"/>
    <row r="117" ht="30.75" customHeight="1" x14ac:dyDescent="0.3"/>
    <row r="118" ht="30.75" customHeight="1" x14ac:dyDescent="0.3"/>
    <row r="119" ht="30.75" customHeight="1" x14ac:dyDescent="0.3"/>
    <row r="120" ht="30.75" customHeight="1" x14ac:dyDescent="0.3"/>
    <row r="121" ht="30.75" customHeight="1" x14ac:dyDescent="0.3"/>
    <row r="122" ht="30.75" customHeight="1" x14ac:dyDescent="0.3"/>
    <row r="123" ht="30.75" customHeight="1" x14ac:dyDescent="0.3"/>
    <row r="124" ht="30.75" customHeight="1" x14ac:dyDescent="0.3"/>
    <row r="125" ht="30.75" customHeight="1" x14ac:dyDescent="0.3"/>
    <row r="126" ht="30.75" customHeight="1" x14ac:dyDescent="0.3"/>
    <row r="127" ht="30.75" customHeight="1" x14ac:dyDescent="0.3"/>
    <row r="128" ht="30.75" customHeight="1" x14ac:dyDescent="0.3"/>
    <row r="129" ht="30.75" customHeight="1" x14ac:dyDescent="0.3"/>
    <row r="130" ht="30.75" customHeight="1" x14ac:dyDescent="0.3"/>
    <row r="131" ht="30.75" customHeight="1" x14ac:dyDescent="0.3"/>
    <row r="132" ht="30.75" customHeight="1" x14ac:dyDescent="0.3"/>
    <row r="133" ht="30.75" customHeight="1" x14ac:dyDescent="0.3"/>
    <row r="134" ht="30.75" customHeight="1" x14ac:dyDescent="0.3"/>
    <row r="135" ht="30.75" customHeight="1" x14ac:dyDescent="0.3"/>
    <row r="136" ht="30.75" customHeight="1" x14ac:dyDescent="0.3"/>
    <row r="137" ht="30.75" customHeight="1" x14ac:dyDescent="0.3"/>
    <row r="138" ht="30.75" customHeight="1" x14ac:dyDescent="0.3"/>
    <row r="139" ht="30.75" customHeight="1" x14ac:dyDescent="0.3"/>
    <row r="140" ht="30.75" customHeight="1" x14ac:dyDescent="0.3"/>
    <row r="141" ht="30.75" customHeight="1" x14ac:dyDescent="0.3"/>
    <row r="142" ht="30.75" customHeight="1" x14ac:dyDescent="0.3"/>
    <row r="143" ht="30.75" customHeight="1" x14ac:dyDescent="0.3"/>
    <row r="144" ht="30.75" customHeight="1" x14ac:dyDescent="0.3"/>
    <row r="145" ht="30.75" customHeight="1" x14ac:dyDescent="0.3"/>
    <row r="146" ht="30.75" customHeight="1" x14ac:dyDescent="0.3"/>
    <row r="147" ht="30.75" customHeight="1" x14ac:dyDescent="0.3"/>
    <row r="148" ht="30.75" customHeight="1" x14ac:dyDescent="0.3"/>
    <row r="149" ht="30.75" customHeight="1" x14ac:dyDescent="0.3"/>
    <row r="150" ht="30.75" customHeight="1" x14ac:dyDescent="0.3"/>
    <row r="151" ht="30.75" customHeight="1" x14ac:dyDescent="0.3"/>
    <row r="152" ht="30.75" customHeight="1" x14ac:dyDescent="0.3"/>
    <row r="153" ht="30.75" customHeight="1" x14ac:dyDescent="0.3"/>
    <row r="154" ht="30.75" customHeight="1" x14ac:dyDescent="0.3"/>
    <row r="155" ht="30.75" customHeight="1" x14ac:dyDescent="0.3"/>
    <row r="156" ht="30.75" customHeight="1" x14ac:dyDescent="0.3"/>
    <row r="157" ht="30.75" customHeight="1" x14ac:dyDescent="0.3"/>
    <row r="158" ht="30.75" customHeight="1" x14ac:dyDescent="0.3"/>
    <row r="159" ht="30.75" customHeight="1" x14ac:dyDescent="0.3"/>
    <row r="160" ht="30.75" customHeight="1" x14ac:dyDescent="0.3"/>
    <row r="161" ht="30.75" customHeight="1" x14ac:dyDescent="0.3"/>
    <row r="162" ht="30.75" customHeight="1" x14ac:dyDescent="0.3"/>
    <row r="163" ht="30.75" customHeight="1" x14ac:dyDescent="0.3"/>
    <row r="164" ht="30.75" customHeight="1" x14ac:dyDescent="0.3"/>
    <row r="165" ht="30.75" customHeight="1" x14ac:dyDescent="0.3"/>
    <row r="166" ht="30.75" customHeight="1" x14ac:dyDescent="0.3"/>
    <row r="167" ht="30.75" customHeight="1" x14ac:dyDescent="0.3"/>
    <row r="168" ht="30.75" customHeight="1" x14ac:dyDescent="0.3"/>
    <row r="169" ht="30.75" customHeight="1" x14ac:dyDescent="0.3"/>
    <row r="170" ht="30.75" customHeight="1" x14ac:dyDescent="0.3"/>
    <row r="171" ht="30.75" customHeight="1" x14ac:dyDescent="0.3"/>
    <row r="172" ht="30.75" customHeight="1" x14ac:dyDescent="0.3"/>
    <row r="173" ht="30.75" customHeight="1" x14ac:dyDescent="0.3"/>
    <row r="174" ht="30.75" customHeight="1" x14ac:dyDescent="0.3"/>
    <row r="175" ht="30.75" customHeight="1" x14ac:dyDescent="0.3"/>
    <row r="176" ht="30.75" customHeight="1" x14ac:dyDescent="0.3"/>
    <row r="177" ht="30.75" customHeight="1" x14ac:dyDescent="0.3"/>
    <row r="178" ht="30.75" customHeight="1" x14ac:dyDescent="0.3"/>
    <row r="179" ht="30.75" customHeight="1" x14ac:dyDescent="0.3"/>
    <row r="180" ht="30.75" customHeight="1" x14ac:dyDescent="0.3"/>
    <row r="181" ht="30.75" customHeight="1" x14ac:dyDescent="0.3"/>
    <row r="182" ht="30.75" customHeight="1" x14ac:dyDescent="0.3"/>
    <row r="183" ht="30.75" customHeight="1" x14ac:dyDescent="0.3"/>
    <row r="184" ht="30.75" customHeight="1" x14ac:dyDescent="0.3"/>
    <row r="185" ht="30.75" customHeight="1" x14ac:dyDescent="0.3"/>
    <row r="186" ht="30.75" customHeight="1" x14ac:dyDescent="0.3"/>
    <row r="187" ht="30.75" customHeight="1" x14ac:dyDescent="0.3"/>
    <row r="188" ht="30.75" customHeight="1" x14ac:dyDescent="0.3"/>
    <row r="189" ht="30.75" customHeight="1" x14ac:dyDescent="0.3"/>
    <row r="190" ht="30.75" customHeight="1" x14ac:dyDescent="0.3"/>
    <row r="191" ht="30.75" customHeight="1" x14ac:dyDescent="0.3"/>
    <row r="192" ht="30.75" customHeight="1" x14ac:dyDescent="0.3"/>
    <row r="193" ht="30.75" customHeight="1" x14ac:dyDescent="0.3"/>
    <row r="194" ht="30.75" customHeight="1" x14ac:dyDescent="0.3"/>
    <row r="195" ht="30.75" customHeight="1" x14ac:dyDescent="0.3"/>
    <row r="196" ht="30.75" customHeight="1" x14ac:dyDescent="0.3"/>
    <row r="197" ht="30.75" customHeight="1" x14ac:dyDescent="0.3"/>
    <row r="198" ht="30.75" customHeight="1" x14ac:dyDescent="0.3"/>
    <row r="199" ht="30.75" customHeight="1" x14ac:dyDescent="0.3"/>
    <row r="200" ht="30.75" customHeight="1" x14ac:dyDescent="0.3"/>
    <row r="201" ht="30.75" customHeight="1" x14ac:dyDescent="0.3"/>
    <row r="202" ht="30.75" customHeight="1" x14ac:dyDescent="0.3"/>
    <row r="203" ht="30.75" customHeight="1" x14ac:dyDescent="0.3"/>
    <row r="204" ht="30.75" customHeight="1" x14ac:dyDescent="0.3"/>
    <row r="205" ht="30.75" customHeight="1" x14ac:dyDescent="0.3"/>
    <row r="206" ht="30.75" customHeight="1" x14ac:dyDescent="0.3"/>
    <row r="207" ht="30.75" customHeight="1" x14ac:dyDescent="0.3"/>
    <row r="208" ht="30.75" customHeight="1" x14ac:dyDescent="0.3"/>
    <row r="209" ht="30.75" customHeight="1" x14ac:dyDescent="0.3"/>
    <row r="210" ht="30.75" customHeight="1" x14ac:dyDescent="0.3"/>
    <row r="211" ht="30.75" customHeight="1" x14ac:dyDescent="0.3"/>
    <row r="212" ht="30.75" customHeight="1" x14ac:dyDescent="0.3"/>
    <row r="213" ht="30.75" customHeight="1" x14ac:dyDescent="0.3"/>
    <row r="214" ht="30.75" customHeight="1" x14ac:dyDescent="0.3"/>
    <row r="215" ht="48" customHeight="1" x14ac:dyDescent="0.3"/>
    <row r="216" ht="30.75" customHeight="1" x14ac:dyDescent="0.3"/>
    <row r="217" ht="30.75" customHeight="1" x14ac:dyDescent="0.3"/>
    <row r="218" ht="30.75" customHeight="1" x14ac:dyDescent="0.3"/>
    <row r="219" ht="39.75" customHeight="1" x14ac:dyDescent="0.3"/>
    <row r="220" ht="30.75" customHeight="1" x14ac:dyDescent="0.3"/>
    <row r="221" ht="30.75" customHeight="1" x14ac:dyDescent="0.3"/>
    <row r="222" ht="30.75" customHeight="1" x14ac:dyDescent="0.3"/>
    <row r="223" ht="30.75" customHeight="1" x14ac:dyDescent="0.3"/>
    <row r="224" ht="30.75" customHeight="1" x14ac:dyDescent="0.3"/>
    <row r="225" ht="30.75" customHeight="1" x14ac:dyDescent="0.3"/>
    <row r="226" ht="30.75" customHeight="1" x14ac:dyDescent="0.3"/>
    <row r="227" ht="41.25" customHeight="1" x14ac:dyDescent="0.3"/>
    <row r="228" ht="30.75" customHeight="1" x14ac:dyDescent="0.3"/>
    <row r="229" ht="30.75" customHeight="1" x14ac:dyDescent="0.3"/>
    <row r="230" ht="30.75" customHeight="1" x14ac:dyDescent="0.3"/>
    <row r="231" ht="30.75" customHeight="1" x14ac:dyDescent="0.3"/>
    <row r="232" ht="30.75" customHeight="1" x14ac:dyDescent="0.3"/>
    <row r="233" ht="30.75" customHeight="1" x14ac:dyDescent="0.3"/>
    <row r="234" ht="30.75" customHeight="1" x14ac:dyDescent="0.3"/>
    <row r="235" ht="30.75" customHeight="1" x14ac:dyDescent="0.3"/>
    <row r="236" ht="30.75" customHeight="1" x14ac:dyDescent="0.3"/>
    <row r="237" ht="30.75" customHeight="1" x14ac:dyDescent="0.3"/>
    <row r="238" ht="30.75" customHeight="1" x14ac:dyDescent="0.3"/>
    <row r="239" ht="30.75" customHeight="1" x14ac:dyDescent="0.3"/>
    <row r="240" ht="30.75" customHeight="1" x14ac:dyDescent="0.3"/>
    <row r="241" ht="30.75" customHeight="1" x14ac:dyDescent="0.3"/>
    <row r="242" ht="30.75" customHeight="1" x14ac:dyDescent="0.3"/>
    <row r="243" ht="30.75" customHeight="1" x14ac:dyDescent="0.3"/>
    <row r="244" ht="30.75" customHeight="1" x14ac:dyDescent="0.3"/>
    <row r="245" ht="30.75" customHeight="1" x14ac:dyDescent="0.3"/>
    <row r="246" ht="30.75" customHeight="1" x14ac:dyDescent="0.3"/>
    <row r="247" ht="30.75" customHeight="1" x14ac:dyDescent="0.3"/>
    <row r="248" ht="30.75" customHeight="1" x14ac:dyDescent="0.3"/>
    <row r="249" ht="30.75" customHeight="1" x14ac:dyDescent="0.3"/>
    <row r="250" ht="30.75" customHeight="1" x14ac:dyDescent="0.3"/>
    <row r="251" ht="30.75" customHeight="1" x14ac:dyDescent="0.3"/>
    <row r="252" ht="30.75" customHeight="1" x14ac:dyDescent="0.3"/>
    <row r="253" ht="30.75" customHeight="1" x14ac:dyDescent="0.3"/>
    <row r="254" ht="30.75" customHeight="1" x14ac:dyDescent="0.3"/>
    <row r="255" ht="30.75" customHeight="1" x14ac:dyDescent="0.3"/>
    <row r="256" ht="30.75" customHeight="1" x14ac:dyDescent="0.3"/>
    <row r="257" ht="30.75" customHeight="1" x14ac:dyDescent="0.3"/>
    <row r="258" ht="30.75" customHeight="1" x14ac:dyDescent="0.3"/>
    <row r="259" ht="30.75" customHeight="1" x14ac:dyDescent="0.3"/>
    <row r="260" ht="30.75" customHeight="1" x14ac:dyDescent="0.3"/>
    <row r="261" ht="30.75" customHeight="1" x14ac:dyDescent="0.3"/>
    <row r="262" ht="30.75" customHeight="1" x14ac:dyDescent="0.3"/>
    <row r="263" ht="30.75" customHeight="1" x14ac:dyDescent="0.3"/>
    <row r="264" ht="30.75" customHeight="1" x14ac:dyDescent="0.3"/>
    <row r="265" ht="30.75" customHeight="1" x14ac:dyDescent="0.3"/>
    <row r="266" ht="30.75" customHeight="1" x14ac:dyDescent="0.3"/>
    <row r="267" ht="30.75" customHeight="1" x14ac:dyDescent="0.3"/>
    <row r="268" ht="30.75" customHeight="1" x14ac:dyDescent="0.3"/>
    <row r="269" ht="30.75" customHeight="1" x14ac:dyDescent="0.3"/>
    <row r="270" ht="30.75" customHeight="1" x14ac:dyDescent="0.3"/>
    <row r="271" ht="30.75" customHeight="1" x14ac:dyDescent="0.3"/>
    <row r="272" ht="30.75" customHeight="1" x14ac:dyDescent="0.3"/>
    <row r="273" ht="30.75" customHeight="1" x14ac:dyDescent="0.3"/>
    <row r="274" ht="30.75" customHeight="1" x14ac:dyDescent="0.3"/>
    <row r="275" ht="30.75" customHeight="1" x14ac:dyDescent="0.3"/>
    <row r="276" ht="30.75" customHeight="1" x14ac:dyDescent="0.3"/>
    <row r="277" ht="30.75" customHeight="1" x14ac:dyDescent="0.3"/>
    <row r="278" ht="30.75" customHeight="1" x14ac:dyDescent="0.3"/>
    <row r="279" ht="30.75" customHeight="1" x14ac:dyDescent="0.3"/>
    <row r="280" ht="30.75" customHeight="1" x14ac:dyDescent="0.3"/>
    <row r="281" ht="30.75" customHeight="1" x14ac:dyDescent="0.3"/>
    <row r="282" ht="30.75" customHeight="1" x14ac:dyDescent="0.3"/>
    <row r="283" ht="30.75" customHeight="1" x14ac:dyDescent="0.3"/>
    <row r="284" ht="42.75" customHeight="1" x14ac:dyDescent="0.3"/>
    <row r="285" ht="30.75" customHeight="1" x14ac:dyDescent="0.3"/>
    <row r="286" ht="44.25" customHeight="1" x14ac:dyDescent="0.3"/>
    <row r="287" ht="30.75" customHeight="1" x14ac:dyDescent="0.3"/>
    <row r="288" ht="40.5" customHeight="1" x14ac:dyDescent="0.3"/>
    <row r="289" ht="39.75" customHeight="1" x14ac:dyDescent="0.3"/>
    <row r="290" ht="30.75" customHeight="1" x14ac:dyDescent="0.3"/>
    <row r="291" ht="30.75" customHeight="1" x14ac:dyDescent="0.3"/>
    <row r="292" ht="30.75" customHeight="1" x14ac:dyDescent="0.3"/>
    <row r="293" ht="30.75" customHeight="1" x14ac:dyDescent="0.3"/>
    <row r="294" ht="30.75" customHeight="1" x14ac:dyDescent="0.3"/>
    <row r="295" ht="30.75" customHeight="1" x14ac:dyDescent="0.3"/>
    <row r="296" ht="30.75" customHeight="1" x14ac:dyDescent="0.3"/>
    <row r="297" ht="30.75" customHeight="1" x14ac:dyDescent="0.3"/>
    <row r="298" ht="30.75" customHeight="1" x14ac:dyDescent="0.3"/>
    <row r="299" ht="45.75" customHeight="1" x14ac:dyDescent="0.3"/>
    <row r="300" ht="30.75" customHeight="1" x14ac:dyDescent="0.3"/>
    <row r="301" ht="30.75" customHeight="1" x14ac:dyDescent="0.3"/>
    <row r="302" ht="30.75" customHeight="1" x14ac:dyDescent="0.3"/>
    <row r="303" ht="42" customHeight="1" x14ac:dyDescent="0.3"/>
    <row r="304" ht="30.75" customHeight="1" x14ac:dyDescent="0.3"/>
    <row r="305" ht="30.75" customHeight="1" x14ac:dyDescent="0.3"/>
    <row r="306" ht="30.75" customHeight="1" x14ac:dyDescent="0.3"/>
  </sheetData>
  <autoFilter ref="A6:R88"/>
  <mergeCells count="131">
    <mergeCell ref="A77:A88"/>
    <mergeCell ref="B77:B78"/>
    <mergeCell ref="B79:B84"/>
    <mergeCell ref="B87:B88"/>
    <mergeCell ref="F78:H78"/>
    <mergeCell ref="I78:K78"/>
    <mergeCell ref="L78:N78"/>
    <mergeCell ref="O78:Q78"/>
    <mergeCell ref="F88:H88"/>
    <mergeCell ref="I88:K88"/>
    <mergeCell ref="L88:N88"/>
    <mergeCell ref="O88:Q88"/>
    <mergeCell ref="F87:H87"/>
    <mergeCell ref="F59:K59"/>
    <mergeCell ref="L59:Q59"/>
    <mergeCell ref="F64:K64"/>
    <mergeCell ref="F66:H66"/>
    <mergeCell ref="F38:H38"/>
    <mergeCell ref="F44:Q44"/>
    <mergeCell ref="F32:Q32"/>
    <mergeCell ref="F35:Q35"/>
    <mergeCell ref="L64:Q64"/>
    <mergeCell ref="O38:Q38"/>
    <mergeCell ref="O39:Q39"/>
    <mergeCell ref="O40:Q40"/>
    <mergeCell ref="F56:Q56"/>
    <mergeCell ref="A69:A70"/>
    <mergeCell ref="A71:A72"/>
    <mergeCell ref="F67:Q67"/>
    <mergeCell ref="A65:A68"/>
    <mergeCell ref="A73:A76"/>
    <mergeCell ref="F76:Q76"/>
    <mergeCell ref="F74:H74"/>
    <mergeCell ref="I74:K74"/>
    <mergeCell ref="I66:K66"/>
    <mergeCell ref="F68:H68"/>
    <mergeCell ref="I68:K68"/>
    <mergeCell ref="F71:K71"/>
    <mergeCell ref="L71:Q71"/>
    <mergeCell ref="F72:Q72"/>
    <mergeCell ref="L66:N66"/>
    <mergeCell ref="O66:Q66"/>
    <mergeCell ref="L68:N68"/>
    <mergeCell ref="O68:Q68"/>
    <mergeCell ref="F75:Q75"/>
    <mergeCell ref="L74:N74"/>
    <mergeCell ref="O74:Q74"/>
    <mergeCell ref="A57:A59"/>
    <mergeCell ref="A60:A64"/>
    <mergeCell ref="L25:N25"/>
    <mergeCell ref="O25:Q25"/>
    <mergeCell ref="F26:H26"/>
    <mergeCell ref="A14:A16"/>
    <mergeCell ref="F15:H15"/>
    <mergeCell ref="I15:K15"/>
    <mergeCell ref="L15:N15"/>
    <mergeCell ref="I26:K26"/>
    <mergeCell ref="L26:N26"/>
    <mergeCell ref="F43:Q43"/>
    <mergeCell ref="F27:H27"/>
    <mergeCell ref="I27:K27"/>
    <mergeCell ref="L27:N27"/>
    <mergeCell ref="O27:Q27"/>
    <mergeCell ref="F28:K28"/>
    <mergeCell ref="L28:Q28"/>
    <mergeCell ref="F36:H36"/>
    <mergeCell ref="I36:K36"/>
    <mergeCell ref="I30:K30"/>
    <mergeCell ref="L30:N30"/>
    <mergeCell ref="O30:Q30"/>
    <mergeCell ref="O26:Q26"/>
    <mergeCell ref="A36:A40"/>
    <mergeCell ref="F21:K21"/>
    <mergeCell ref="L21:Q21"/>
    <mergeCell ref="F25:H25"/>
    <mergeCell ref="F45:K45"/>
    <mergeCell ref="L45:Q45"/>
    <mergeCell ref="A46:A47"/>
    <mergeCell ref="F46:Q46"/>
    <mergeCell ref="F47:K47"/>
    <mergeCell ref="L47:Q47"/>
    <mergeCell ref="I25:K25"/>
    <mergeCell ref="A24:A27"/>
    <mergeCell ref="F39:H39"/>
    <mergeCell ref="F40:H40"/>
    <mergeCell ref="L39:N39"/>
    <mergeCell ref="I40:K40"/>
    <mergeCell ref="L40:N40"/>
    <mergeCell ref="L37:N37"/>
    <mergeCell ref="O37:Q37"/>
    <mergeCell ref="F31:Q31"/>
    <mergeCell ref="A48:A55"/>
    <mergeCell ref="L36:N36"/>
    <mergeCell ref="O36:Q36"/>
    <mergeCell ref="F37:H37"/>
    <mergeCell ref="I37:K37"/>
    <mergeCell ref="O9:Q9"/>
    <mergeCell ref="F14:H14"/>
    <mergeCell ref="I14:K14"/>
    <mergeCell ref="L14:N14"/>
    <mergeCell ref="O14:Q14"/>
    <mergeCell ref="O15:Q15"/>
    <mergeCell ref="F29:Q29"/>
    <mergeCell ref="F30:H30"/>
    <mergeCell ref="A28:A35"/>
    <mergeCell ref="A10:A13"/>
    <mergeCell ref="A17:A23"/>
    <mergeCell ref="A7:A9"/>
    <mergeCell ref="F16:K16"/>
    <mergeCell ref="L16:Q16"/>
    <mergeCell ref="I38:K38"/>
    <mergeCell ref="L38:N38"/>
    <mergeCell ref="I39:K39"/>
    <mergeCell ref="A43:A45"/>
    <mergeCell ref="A41:A42"/>
    <mergeCell ref="G3:H3"/>
    <mergeCell ref="F5:H5"/>
    <mergeCell ref="I5:K5"/>
    <mergeCell ref="L5:N5"/>
    <mergeCell ref="O5:Q5"/>
    <mergeCell ref="F34:K34"/>
    <mergeCell ref="L34:Q34"/>
    <mergeCell ref="F8:H8"/>
    <mergeCell ref="I8:K8"/>
    <mergeCell ref="L8:N8"/>
    <mergeCell ref="O8:Q8"/>
    <mergeCell ref="F9:H9"/>
    <mergeCell ref="I9:K9"/>
    <mergeCell ref="L9:N9"/>
    <mergeCell ref="F7:Q7"/>
    <mergeCell ref="F17:Q17"/>
  </mergeCells>
  <pageMargins left="0.31496062992125984" right="0.31496062992125984" top="0.35433070866141736" bottom="0.35433070866141736" header="0.31496062992125984" footer="0.19685039370078741"/>
  <pageSetup paperSize="9" scale="37" fitToHeight="0" orientation="portrait" r:id="rId1"/>
  <headerFooter>
    <oddFooter>&amp;C&amp;9&amp;K00-048&amp;P /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306"/>
  <sheetViews>
    <sheetView showGridLines="0" zoomScale="85" zoomScaleNormal="85" workbookViewId="0">
      <pane xSplit="4" ySplit="6" topLeftCell="G51" activePane="bottomRight" state="frozen"/>
      <selection pane="topRight" activeCell="D1" sqref="D1"/>
      <selection pane="bottomLeft" activeCell="A7" sqref="A7"/>
      <selection pane="bottomRight" activeCell="F56" sqref="F56:Q56"/>
    </sheetView>
  </sheetViews>
  <sheetFormatPr baseColWidth="10" defaultRowHeight="14.4" x14ac:dyDescent="0.3"/>
  <cols>
    <col min="1" max="1" width="21.88671875" customWidth="1"/>
    <col min="2" max="2" width="47.88671875" customWidth="1"/>
    <col min="3" max="3" width="41.44140625" style="116" customWidth="1"/>
    <col min="4" max="4" width="26" bestFit="1" customWidth="1"/>
    <col min="5" max="5" width="16.44140625" bestFit="1" customWidth="1"/>
    <col min="6" max="7" width="16" customWidth="1"/>
    <col min="8" max="12" width="15.88671875" customWidth="1"/>
    <col min="13" max="14" width="15.88671875" style="116" customWidth="1"/>
    <col min="15" max="15" width="15.88671875" customWidth="1"/>
    <col min="16" max="17" width="16" customWidth="1"/>
    <col min="18" max="18" width="12.6640625" bestFit="1" customWidth="1"/>
  </cols>
  <sheetData>
    <row r="1" spans="1:17" ht="15.6" x14ac:dyDescent="0.3">
      <c r="A1" s="1"/>
      <c r="B1" s="1"/>
      <c r="C1" s="115"/>
      <c r="D1" s="3"/>
      <c r="E1" s="3"/>
      <c r="F1" s="3"/>
      <c r="G1" s="3" t="s">
        <v>599</v>
      </c>
      <c r="H1" s="4"/>
      <c r="I1" s="143"/>
      <c r="O1" s="39" t="s">
        <v>137</v>
      </c>
    </row>
    <row r="2" spans="1:17" x14ac:dyDescent="0.3">
      <c r="A2" s="1"/>
      <c r="B2" s="1"/>
      <c r="C2" s="115"/>
      <c r="D2" s="1"/>
      <c r="E2" s="1"/>
      <c r="F2" s="1"/>
      <c r="G2" s="1"/>
      <c r="H2" s="1"/>
    </row>
    <row r="3" spans="1:17" x14ac:dyDescent="0.3">
      <c r="A3" s="1"/>
      <c r="B3" s="1"/>
      <c r="C3" s="115"/>
      <c r="D3" s="1"/>
      <c r="E3" s="1"/>
      <c r="F3" s="2" t="s">
        <v>65</v>
      </c>
      <c r="G3" s="854">
        <v>45433</v>
      </c>
      <c r="H3" s="854"/>
    </row>
    <row r="4" spans="1:17" ht="15" thickBot="1" x14ac:dyDescent="0.35">
      <c r="A4" s="1"/>
      <c r="B4" s="1"/>
      <c r="C4" s="115"/>
      <c r="D4" s="1"/>
      <c r="E4" s="1"/>
      <c r="F4" s="1"/>
      <c r="G4" s="1"/>
      <c r="H4" s="1"/>
    </row>
    <row r="5" spans="1:17" ht="15" thickBot="1" x14ac:dyDescent="0.35">
      <c r="A5" s="1"/>
      <c r="B5" s="1"/>
      <c r="C5" s="115"/>
      <c r="D5" s="1"/>
      <c r="E5" s="1"/>
      <c r="F5" s="1150" t="s">
        <v>24</v>
      </c>
      <c r="G5" s="1150"/>
      <c r="H5" s="1151"/>
      <c r="I5" s="1152" t="s">
        <v>25</v>
      </c>
      <c r="J5" s="1150"/>
      <c r="K5" s="1151"/>
      <c r="L5" s="1152" t="s">
        <v>26</v>
      </c>
      <c r="M5" s="1150"/>
      <c r="N5" s="1151"/>
      <c r="O5" s="1152" t="s">
        <v>27</v>
      </c>
      <c r="P5" s="1150"/>
      <c r="Q5" s="1153"/>
    </row>
    <row r="6" spans="1:17" s="6" customFormat="1" ht="15" thickBot="1" x14ac:dyDescent="0.35">
      <c r="A6" s="528" t="s">
        <v>0</v>
      </c>
      <c r="B6" s="529" t="s">
        <v>16</v>
      </c>
      <c r="C6" s="529" t="s">
        <v>15</v>
      </c>
      <c r="D6" s="530" t="s">
        <v>324</v>
      </c>
      <c r="E6" s="531" t="s">
        <v>503</v>
      </c>
      <c r="F6" s="532" t="s">
        <v>3</v>
      </c>
      <c r="G6" s="533" t="s">
        <v>4</v>
      </c>
      <c r="H6" s="533" t="s">
        <v>5</v>
      </c>
      <c r="I6" s="533" t="s">
        <v>6</v>
      </c>
      <c r="J6" s="533" t="s">
        <v>7</v>
      </c>
      <c r="K6" s="533" t="s">
        <v>8</v>
      </c>
      <c r="L6" s="533" t="s">
        <v>9</v>
      </c>
      <c r="M6" s="533" t="s">
        <v>10</v>
      </c>
      <c r="N6" s="533" t="s">
        <v>11</v>
      </c>
      <c r="O6" s="533" t="s">
        <v>12</v>
      </c>
      <c r="P6" s="533" t="s">
        <v>13</v>
      </c>
      <c r="Q6" s="534" t="s">
        <v>14</v>
      </c>
    </row>
    <row r="7" spans="1:17" s="6" customFormat="1" ht="45" customHeight="1" x14ac:dyDescent="0.3">
      <c r="A7" s="1154" t="s">
        <v>22</v>
      </c>
      <c r="B7" s="594" t="s">
        <v>331</v>
      </c>
      <c r="C7" s="594" t="s">
        <v>224</v>
      </c>
      <c r="D7" s="568" t="s">
        <v>334</v>
      </c>
      <c r="E7" s="569" t="s">
        <v>508</v>
      </c>
      <c r="F7" s="1156">
        <v>0.90480000000000005</v>
      </c>
      <c r="G7" s="1157"/>
      <c r="H7" s="1157"/>
      <c r="I7" s="1157"/>
      <c r="J7" s="1157"/>
      <c r="K7" s="1157"/>
      <c r="L7" s="1157"/>
      <c r="M7" s="1157"/>
      <c r="N7" s="1157"/>
      <c r="O7" s="1157"/>
      <c r="P7" s="1157"/>
      <c r="Q7" s="1158"/>
    </row>
    <row r="8" spans="1:17" s="6" customFormat="1" ht="45" customHeight="1" x14ac:dyDescent="0.3">
      <c r="A8" s="1155"/>
      <c r="B8" s="1147" t="s">
        <v>332</v>
      </c>
      <c r="C8" s="5" t="s">
        <v>651</v>
      </c>
      <c r="D8" s="380" t="s">
        <v>336</v>
      </c>
      <c r="E8" s="244" t="s">
        <v>512</v>
      </c>
      <c r="F8" s="1149">
        <v>0.26</v>
      </c>
      <c r="G8" s="1149"/>
      <c r="H8" s="1149"/>
      <c r="I8" s="1149">
        <v>0.32</v>
      </c>
      <c r="J8" s="1149"/>
      <c r="K8" s="1149"/>
      <c r="L8" s="1149">
        <v>0.27</v>
      </c>
      <c r="M8" s="1149"/>
      <c r="N8" s="1149"/>
      <c r="O8" s="1149">
        <v>0.34</v>
      </c>
      <c r="P8" s="1149"/>
      <c r="Q8" s="1162"/>
    </row>
    <row r="9" spans="1:17" s="6" customFormat="1" ht="45" customHeight="1" x14ac:dyDescent="0.3">
      <c r="A9" s="1155"/>
      <c r="B9" s="1148"/>
      <c r="C9" s="5" t="s">
        <v>652</v>
      </c>
      <c r="D9" s="380" t="s">
        <v>336</v>
      </c>
      <c r="E9" s="244" t="s">
        <v>512</v>
      </c>
      <c r="F9" s="1159">
        <v>0.92</v>
      </c>
      <c r="G9" s="1159"/>
      <c r="H9" s="1159"/>
      <c r="I9" s="1159" t="s">
        <v>275</v>
      </c>
      <c r="J9" s="1159"/>
      <c r="K9" s="1159"/>
      <c r="L9" s="1159" t="s">
        <v>275</v>
      </c>
      <c r="M9" s="1159"/>
      <c r="N9" s="1159"/>
      <c r="O9" s="1159" t="s">
        <v>275</v>
      </c>
      <c r="P9" s="1159"/>
      <c r="Q9" s="1160"/>
    </row>
    <row r="10" spans="1:17" s="6" customFormat="1" ht="45" customHeight="1" x14ac:dyDescent="0.3">
      <c r="A10" s="1145"/>
      <c r="B10" s="1147" t="s">
        <v>333</v>
      </c>
      <c r="C10" s="13" t="s">
        <v>653</v>
      </c>
      <c r="D10" s="381" t="s">
        <v>338</v>
      </c>
      <c r="E10" s="244" t="s">
        <v>512</v>
      </c>
      <c r="F10" s="1159">
        <v>1</v>
      </c>
      <c r="G10" s="1159"/>
      <c r="H10" s="1159"/>
      <c r="I10" s="1159">
        <v>1</v>
      </c>
      <c r="J10" s="1159"/>
      <c r="K10" s="1159"/>
      <c r="L10" s="1159">
        <v>1</v>
      </c>
      <c r="M10" s="1159"/>
      <c r="N10" s="1159"/>
      <c r="O10" s="1159">
        <v>1</v>
      </c>
      <c r="P10" s="1159"/>
      <c r="Q10" s="1160"/>
    </row>
    <row r="11" spans="1:17" s="6" customFormat="1" ht="45" customHeight="1" x14ac:dyDescent="0.3">
      <c r="A11" s="1146"/>
      <c r="B11" s="1165"/>
      <c r="C11" s="8" t="s">
        <v>654</v>
      </c>
      <c r="D11" s="381" t="s">
        <v>338</v>
      </c>
      <c r="E11" s="257" t="s">
        <v>512</v>
      </c>
      <c r="F11" s="1161">
        <v>1</v>
      </c>
      <c r="G11" s="1161"/>
      <c r="H11" s="1161"/>
      <c r="I11" s="1159">
        <v>1</v>
      </c>
      <c r="J11" s="1159"/>
      <c r="K11" s="1159"/>
      <c r="L11" s="1159">
        <v>1</v>
      </c>
      <c r="M11" s="1159"/>
      <c r="N11" s="1159"/>
      <c r="O11" s="1159">
        <v>1</v>
      </c>
      <c r="P11" s="1159"/>
      <c r="Q11" s="1160"/>
    </row>
    <row r="12" spans="1:17" s="6" customFormat="1" ht="50.25" customHeight="1" x14ac:dyDescent="0.3">
      <c r="A12" s="1144" t="s">
        <v>57</v>
      </c>
      <c r="B12" s="12" t="s">
        <v>339</v>
      </c>
      <c r="C12" s="12" t="s">
        <v>340</v>
      </c>
      <c r="D12" s="76" t="s">
        <v>341</v>
      </c>
      <c r="E12" s="36" t="s">
        <v>519</v>
      </c>
      <c r="F12" s="473">
        <v>0.85</v>
      </c>
      <c r="G12" s="474">
        <v>0.89</v>
      </c>
      <c r="H12" s="475">
        <v>0.91</v>
      </c>
      <c r="I12" s="475">
        <v>0.84</v>
      </c>
      <c r="J12" s="400">
        <v>0.86</v>
      </c>
      <c r="K12" s="400">
        <v>0.83</v>
      </c>
      <c r="L12" s="399">
        <v>0.74</v>
      </c>
      <c r="M12" s="399">
        <v>0.72</v>
      </c>
      <c r="N12" s="399">
        <v>0.76</v>
      </c>
      <c r="O12" s="401">
        <v>0.94</v>
      </c>
      <c r="P12" s="401">
        <v>0.9</v>
      </c>
      <c r="Q12" s="596">
        <v>0.93</v>
      </c>
    </row>
    <row r="13" spans="1:17" s="6" customFormat="1" ht="50.25" customHeight="1" x14ac:dyDescent="0.3">
      <c r="A13" s="1145"/>
      <c r="B13" s="5" t="s">
        <v>342</v>
      </c>
      <c r="C13" s="5" t="s">
        <v>343</v>
      </c>
      <c r="D13" s="77" t="s">
        <v>344</v>
      </c>
      <c r="E13" s="34" t="s">
        <v>513</v>
      </c>
      <c r="F13" s="476">
        <v>1</v>
      </c>
      <c r="G13" s="477">
        <v>1</v>
      </c>
      <c r="H13" s="478">
        <v>1</v>
      </c>
      <c r="I13" s="478">
        <v>1</v>
      </c>
      <c r="J13" s="406">
        <v>1</v>
      </c>
      <c r="K13" s="406">
        <v>1</v>
      </c>
      <c r="L13" s="406">
        <v>1</v>
      </c>
      <c r="M13" s="406">
        <v>1</v>
      </c>
      <c r="N13" s="406">
        <v>1</v>
      </c>
      <c r="O13" s="407">
        <v>1</v>
      </c>
      <c r="P13" s="407">
        <v>1</v>
      </c>
      <c r="Q13" s="636">
        <v>1</v>
      </c>
    </row>
    <row r="14" spans="1:17" s="6" customFormat="1" ht="50.25" customHeight="1" x14ac:dyDescent="0.3">
      <c r="A14" s="1145"/>
      <c r="B14" s="5" t="s">
        <v>345</v>
      </c>
      <c r="C14" s="510" t="s">
        <v>589</v>
      </c>
      <c r="D14" s="77" t="s">
        <v>347</v>
      </c>
      <c r="E14" s="34" t="s">
        <v>519</v>
      </c>
      <c r="F14" s="476">
        <v>0.98</v>
      </c>
      <c r="G14" s="477">
        <v>0.92</v>
      </c>
      <c r="H14" s="412">
        <v>0.77</v>
      </c>
      <c r="I14" s="478">
        <v>0.97</v>
      </c>
      <c r="J14" s="479">
        <v>0.97</v>
      </c>
      <c r="K14" s="479">
        <v>0.94</v>
      </c>
      <c r="L14" s="406">
        <v>0.89</v>
      </c>
      <c r="M14" s="406">
        <v>0.84</v>
      </c>
      <c r="N14" s="406">
        <v>0.9</v>
      </c>
      <c r="O14" s="407">
        <v>0.94</v>
      </c>
      <c r="P14" s="407">
        <v>0.9</v>
      </c>
      <c r="Q14" s="636">
        <v>0.89</v>
      </c>
    </row>
    <row r="15" spans="1:17" s="6" customFormat="1" ht="50.25" customHeight="1" x14ac:dyDescent="0.3">
      <c r="A15" s="1146"/>
      <c r="B15" s="8" t="s">
        <v>348</v>
      </c>
      <c r="C15" s="8" t="s">
        <v>349</v>
      </c>
      <c r="D15" s="87" t="s">
        <v>350</v>
      </c>
      <c r="E15" s="37" t="s">
        <v>519</v>
      </c>
      <c r="F15" s="1257" t="s">
        <v>275</v>
      </c>
      <c r="G15" s="1258"/>
      <c r="H15" s="1258"/>
      <c r="I15" s="1258"/>
      <c r="J15" s="1258"/>
      <c r="K15" s="1258"/>
      <c r="L15" s="1258"/>
      <c r="M15" s="1258"/>
      <c r="N15" s="1258"/>
      <c r="O15" s="1258"/>
      <c r="P15" s="1258"/>
      <c r="Q15" s="1259"/>
    </row>
    <row r="16" spans="1:17" s="6" customFormat="1" ht="46.5" customHeight="1" x14ac:dyDescent="0.3">
      <c r="A16" s="1144" t="s">
        <v>153</v>
      </c>
      <c r="B16" s="12" t="s">
        <v>480</v>
      </c>
      <c r="C16" s="12" t="s">
        <v>481</v>
      </c>
      <c r="D16" s="76" t="s">
        <v>551</v>
      </c>
      <c r="E16" s="36" t="s">
        <v>512</v>
      </c>
      <c r="F16" s="1163">
        <v>1</v>
      </c>
      <c r="G16" s="1027"/>
      <c r="H16" s="1027"/>
      <c r="I16" s="1163">
        <v>1</v>
      </c>
      <c r="J16" s="1027"/>
      <c r="K16" s="1027"/>
      <c r="L16" s="1163">
        <v>1</v>
      </c>
      <c r="M16" s="1027"/>
      <c r="N16" s="1027"/>
      <c r="O16" s="1163">
        <v>1</v>
      </c>
      <c r="P16" s="1027"/>
      <c r="Q16" s="1027"/>
    </row>
    <row r="17" spans="1:17" s="6" customFormat="1" ht="46.5" customHeight="1" x14ac:dyDescent="0.3">
      <c r="A17" s="1145"/>
      <c r="B17" s="5" t="s">
        <v>482</v>
      </c>
      <c r="C17" s="5" t="s">
        <v>483</v>
      </c>
      <c r="D17" s="77" t="s">
        <v>549</v>
      </c>
      <c r="E17" s="34" t="s">
        <v>512</v>
      </c>
      <c r="F17" s="1164">
        <v>1</v>
      </c>
      <c r="G17" s="1028"/>
      <c r="H17" s="1028"/>
      <c r="I17" s="1164">
        <v>1</v>
      </c>
      <c r="J17" s="1028"/>
      <c r="K17" s="1028"/>
      <c r="L17" s="1164">
        <v>1</v>
      </c>
      <c r="M17" s="1028"/>
      <c r="N17" s="1028"/>
      <c r="O17" s="1164">
        <v>1</v>
      </c>
      <c r="P17" s="1028"/>
      <c r="Q17" s="1028"/>
    </row>
    <row r="18" spans="1:17" s="6" customFormat="1" ht="46.5" customHeight="1" x14ac:dyDescent="0.3">
      <c r="A18" s="1146"/>
      <c r="B18" s="8" t="s">
        <v>484</v>
      </c>
      <c r="C18" s="8" t="s">
        <v>485</v>
      </c>
      <c r="D18" s="87" t="s">
        <v>550</v>
      </c>
      <c r="E18" s="37" t="s">
        <v>513</v>
      </c>
      <c r="F18" s="1058">
        <v>1</v>
      </c>
      <c r="G18" s="1167"/>
      <c r="H18" s="1167"/>
      <c r="I18" s="1167"/>
      <c r="J18" s="1167"/>
      <c r="K18" s="1167"/>
      <c r="L18" s="1254">
        <v>1</v>
      </c>
      <c r="M18" s="1255"/>
      <c r="N18" s="1255"/>
      <c r="O18" s="1255"/>
      <c r="P18" s="1255"/>
      <c r="Q18" s="1256"/>
    </row>
    <row r="19" spans="1:17" s="6" customFormat="1" ht="48.75" customHeight="1" x14ac:dyDescent="0.3">
      <c r="A19" s="1145" t="s">
        <v>75</v>
      </c>
      <c r="B19" s="1147" t="s">
        <v>355</v>
      </c>
      <c r="C19" s="5" t="s">
        <v>354</v>
      </c>
      <c r="D19" s="95" t="s">
        <v>596</v>
      </c>
      <c r="E19" s="34" t="s">
        <v>655</v>
      </c>
      <c r="F19" s="497">
        <v>73522</v>
      </c>
      <c r="G19" s="498">
        <f>50957+F19</f>
        <v>124479</v>
      </c>
      <c r="H19" s="498">
        <f>63921+G19</f>
        <v>188400</v>
      </c>
      <c r="I19" s="498">
        <f>74717+H19</f>
        <v>263117</v>
      </c>
      <c r="J19" s="486">
        <f>84882+I19</f>
        <v>347999</v>
      </c>
      <c r="K19" s="486">
        <f>81306+J19</f>
        <v>429305</v>
      </c>
      <c r="L19" s="486">
        <f>104265+K19</f>
        <v>533570</v>
      </c>
      <c r="M19" s="486">
        <f>+L19+124564</f>
        <v>658134</v>
      </c>
      <c r="N19" s="486">
        <f>+M19+101492</f>
        <v>759626</v>
      </c>
      <c r="O19" s="416">
        <v>866325</v>
      </c>
      <c r="P19" s="416">
        <v>954697</v>
      </c>
      <c r="Q19" s="517">
        <v>1073400</v>
      </c>
    </row>
    <row r="20" spans="1:17" s="6" customFormat="1" ht="48.75" customHeight="1" x14ac:dyDescent="0.3">
      <c r="A20" s="1145"/>
      <c r="B20" s="1166"/>
      <c r="C20" s="5" t="s">
        <v>356</v>
      </c>
      <c r="D20" s="95" t="s">
        <v>597</v>
      </c>
      <c r="E20" s="34" t="s">
        <v>655</v>
      </c>
      <c r="F20" s="497">
        <v>939</v>
      </c>
      <c r="G20" s="498">
        <f>+F20+773</f>
        <v>1712</v>
      </c>
      <c r="H20" s="498">
        <f>867+G20</f>
        <v>2579</v>
      </c>
      <c r="I20" s="498">
        <f>847+H20</f>
        <v>3426</v>
      </c>
      <c r="J20" s="486">
        <f>1485+I20</f>
        <v>4911</v>
      </c>
      <c r="K20" s="486">
        <f>1469+J20</f>
        <v>6380</v>
      </c>
      <c r="L20" s="486">
        <f>+K20+1048</f>
        <v>7428</v>
      </c>
      <c r="M20" s="486">
        <f>+L20+1227</f>
        <v>8655</v>
      </c>
      <c r="N20" s="486">
        <f>+M20+1016</f>
        <v>9671</v>
      </c>
      <c r="O20" s="557">
        <v>10757</v>
      </c>
      <c r="P20" s="557">
        <v>11735</v>
      </c>
      <c r="Q20" s="640">
        <v>12770</v>
      </c>
    </row>
    <row r="21" spans="1:17" s="6" customFormat="1" ht="48.75" customHeight="1" x14ac:dyDescent="0.3">
      <c r="A21" s="1145"/>
      <c r="B21" s="1148"/>
      <c r="C21" s="5" t="s">
        <v>358</v>
      </c>
      <c r="D21" s="95" t="s">
        <v>359</v>
      </c>
      <c r="E21" s="386" t="s">
        <v>519</v>
      </c>
      <c r="F21" s="641">
        <v>0.54749999999999999</v>
      </c>
      <c r="G21" s="642">
        <v>0.52</v>
      </c>
      <c r="H21" s="642">
        <v>0.51249999999999996</v>
      </c>
      <c r="I21" s="642">
        <v>0.58125000000000004</v>
      </c>
      <c r="J21" s="643">
        <v>0.57879999999999998</v>
      </c>
      <c r="K21" s="643">
        <v>0.58660000000000001</v>
      </c>
      <c r="L21" s="491">
        <v>0.68149999999999999</v>
      </c>
      <c r="M21" s="491">
        <v>0.68</v>
      </c>
      <c r="N21" s="491">
        <v>0.66</v>
      </c>
      <c r="O21" s="644">
        <v>0.55000000000000004</v>
      </c>
      <c r="P21" s="644">
        <v>0.50090000000000001</v>
      </c>
      <c r="Q21" s="645">
        <v>0.54</v>
      </c>
    </row>
    <row r="22" spans="1:17" s="6" customFormat="1" ht="48.75" customHeight="1" x14ac:dyDescent="0.3">
      <c r="A22" s="1145"/>
      <c r="B22" s="1147" t="s">
        <v>363</v>
      </c>
      <c r="C22" s="64" t="s">
        <v>364</v>
      </c>
      <c r="D22" s="95" t="s">
        <v>656</v>
      </c>
      <c r="E22" s="34" t="s">
        <v>511</v>
      </c>
      <c r="F22" s="485">
        <v>164000</v>
      </c>
      <c r="G22" s="486">
        <f>168000+F22</f>
        <v>332000</v>
      </c>
      <c r="H22" s="486">
        <f>133000+G22</f>
        <v>465000</v>
      </c>
      <c r="I22" s="486">
        <f>202000+H22</f>
        <v>667000</v>
      </c>
      <c r="J22" s="486">
        <f>173000+I22</f>
        <v>840000</v>
      </c>
      <c r="K22" s="486">
        <f>+J22+157000</f>
        <v>997000</v>
      </c>
      <c r="L22" s="486">
        <f>+K22+219000</f>
        <v>1216000</v>
      </c>
      <c r="M22" s="486">
        <f>+L22+262000</f>
        <v>1478000</v>
      </c>
      <c r="N22" s="416">
        <v>1631000</v>
      </c>
      <c r="O22" s="416">
        <v>1780000</v>
      </c>
      <c r="P22" s="416">
        <v>1945000</v>
      </c>
      <c r="Q22" s="606">
        <f>164000+P22</f>
        <v>2109000</v>
      </c>
    </row>
    <row r="23" spans="1:17" s="6" customFormat="1" ht="48.75" customHeight="1" x14ac:dyDescent="0.3">
      <c r="A23" s="1146"/>
      <c r="B23" s="1165"/>
      <c r="C23" s="635" t="s">
        <v>366</v>
      </c>
      <c r="D23" s="637" t="s">
        <v>367</v>
      </c>
      <c r="E23" s="72" t="s">
        <v>511</v>
      </c>
      <c r="F23" s="646">
        <v>2.230624846984576</v>
      </c>
      <c r="G23" s="647">
        <v>2.6671165417459974</v>
      </c>
      <c r="H23" s="647">
        <v>2.468152866242038</v>
      </c>
      <c r="I23" s="647">
        <v>2.534993938057974</v>
      </c>
      <c r="J23" s="496">
        <f>+J19/173000</f>
        <v>2.0115549132947979</v>
      </c>
      <c r="K23" s="496">
        <f>+K22/K19</f>
        <v>2.3223582301627048</v>
      </c>
      <c r="L23" s="496">
        <f>+L22/L19</f>
        <v>2.2789886987649233</v>
      </c>
      <c r="M23" s="496">
        <f>+M22/M19</f>
        <v>2.2457432680882619</v>
      </c>
      <c r="N23" s="418">
        <v>2.1471092353342303</v>
      </c>
      <c r="O23" s="465">
        <v>2.0546561625256112</v>
      </c>
      <c r="P23" s="465">
        <v>2.0372956026886015</v>
      </c>
      <c r="Q23" s="607">
        <f>+Q22/Q19</f>
        <v>1.9647847959754052</v>
      </c>
    </row>
    <row r="24" spans="1:17" s="391" customFormat="1" ht="54" customHeight="1" x14ac:dyDescent="0.3">
      <c r="A24" s="1144" t="s">
        <v>176</v>
      </c>
      <c r="B24" s="390" t="s">
        <v>369</v>
      </c>
      <c r="C24" s="390" t="s">
        <v>370</v>
      </c>
      <c r="D24" s="223" t="s">
        <v>371</v>
      </c>
      <c r="E24" s="386" t="s">
        <v>519</v>
      </c>
      <c r="F24" s="549">
        <v>1</v>
      </c>
      <c r="G24" s="480">
        <v>1</v>
      </c>
      <c r="H24" s="480" t="s">
        <v>555</v>
      </c>
      <c r="I24" s="480" t="s">
        <v>555</v>
      </c>
      <c r="J24" s="480" t="s">
        <v>555</v>
      </c>
      <c r="K24" s="480">
        <v>1</v>
      </c>
      <c r="L24" s="480">
        <v>1</v>
      </c>
      <c r="M24" s="480">
        <v>0.66</v>
      </c>
      <c r="N24" s="480">
        <v>1</v>
      </c>
      <c r="O24" s="600" t="s">
        <v>555</v>
      </c>
      <c r="P24" s="600">
        <v>1</v>
      </c>
      <c r="Q24" s="601">
        <v>1</v>
      </c>
    </row>
    <row r="25" spans="1:17" s="6" customFormat="1" ht="54" customHeight="1" x14ac:dyDescent="0.3">
      <c r="A25" s="1145"/>
      <c r="B25" s="5" t="s">
        <v>372</v>
      </c>
      <c r="C25" s="5" t="s">
        <v>373</v>
      </c>
      <c r="D25" s="77" t="s">
        <v>374</v>
      </c>
      <c r="E25" s="34" t="s">
        <v>512</v>
      </c>
      <c r="F25" s="1054">
        <v>1</v>
      </c>
      <c r="G25" s="1049"/>
      <c r="H25" s="1049"/>
      <c r="I25" s="1049">
        <v>1</v>
      </c>
      <c r="J25" s="1049"/>
      <c r="K25" s="1049"/>
      <c r="L25" s="1049">
        <v>1</v>
      </c>
      <c r="M25" s="1049"/>
      <c r="N25" s="1049"/>
      <c r="O25" s="1049">
        <v>1</v>
      </c>
      <c r="P25" s="1049"/>
      <c r="Q25" s="1168"/>
    </row>
    <row r="26" spans="1:17" s="6" customFormat="1" ht="54" customHeight="1" x14ac:dyDescent="0.3">
      <c r="A26" s="1145"/>
      <c r="B26" s="5" t="s">
        <v>375</v>
      </c>
      <c r="C26" s="5" t="s">
        <v>376</v>
      </c>
      <c r="D26" s="77" t="s">
        <v>377</v>
      </c>
      <c r="E26" s="34" t="s">
        <v>512</v>
      </c>
      <c r="F26" s="1169">
        <v>0.6</v>
      </c>
      <c r="G26" s="1170"/>
      <c r="H26" s="1170"/>
      <c r="I26" s="1049">
        <v>0.9</v>
      </c>
      <c r="J26" s="1049"/>
      <c r="K26" s="1049"/>
      <c r="L26" s="1049">
        <v>0.96</v>
      </c>
      <c r="M26" s="1049"/>
      <c r="N26" s="1049"/>
      <c r="O26" s="1247">
        <v>0.60880000000000001</v>
      </c>
      <c r="P26" s="1247"/>
      <c r="Q26" s="1248"/>
    </row>
    <row r="27" spans="1:17" s="6" customFormat="1" ht="54" customHeight="1" x14ac:dyDescent="0.3">
      <c r="A27" s="1146"/>
      <c r="B27" s="8" t="s">
        <v>378</v>
      </c>
      <c r="C27" s="8" t="s">
        <v>379</v>
      </c>
      <c r="D27" s="87" t="s">
        <v>380</v>
      </c>
      <c r="E27" s="37" t="s">
        <v>512</v>
      </c>
      <c r="F27" s="1249">
        <v>643</v>
      </c>
      <c r="G27" s="1250"/>
      <c r="H27" s="1250"/>
      <c r="I27" s="1251">
        <v>914</v>
      </c>
      <c r="J27" s="1252"/>
      <c r="K27" s="1252"/>
      <c r="L27" s="1249">
        <v>642</v>
      </c>
      <c r="M27" s="1250"/>
      <c r="N27" s="1250"/>
      <c r="O27" s="1250">
        <v>437</v>
      </c>
      <c r="P27" s="1250"/>
      <c r="Q27" s="1253"/>
    </row>
    <row r="28" spans="1:17" s="6" customFormat="1" ht="50.25" customHeight="1" x14ac:dyDescent="0.3">
      <c r="A28" s="1144" t="s">
        <v>42</v>
      </c>
      <c r="B28" s="12" t="s">
        <v>505</v>
      </c>
      <c r="C28" s="12" t="s">
        <v>506</v>
      </c>
      <c r="D28" s="150">
        <v>1</v>
      </c>
      <c r="E28" s="384" t="s">
        <v>513</v>
      </c>
      <c r="F28" s="1046">
        <v>1</v>
      </c>
      <c r="G28" s="1171"/>
      <c r="H28" s="1171"/>
      <c r="I28" s="1171"/>
      <c r="J28" s="1171"/>
      <c r="K28" s="1171"/>
      <c r="L28" s="1171">
        <v>1</v>
      </c>
      <c r="M28" s="1171"/>
      <c r="N28" s="1171"/>
      <c r="O28" s="1171"/>
      <c r="P28" s="1171"/>
      <c r="Q28" s="1172"/>
    </row>
    <row r="29" spans="1:17" s="6" customFormat="1" ht="50.25" customHeight="1" x14ac:dyDescent="0.3">
      <c r="A29" s="1145"/>
      <c r="B29" s="5" t="s">
        <v>381</v>
      </c>
      <c r="C29" s="5" t="s">
        <v>382</v>
      </c>
      <c r="D29" s="122" t="s">
        <v>548</v>
      </c>
      <c r="E29" s="385" t="s">
        <v>508</v>
      </c>
      <c r="F29" s="1054">
        <v>1</v>
      </c>
      <c r="G29" s="1049"/>
      <c r="H29" s="1049"/>
      <c r="I29" s="1049"/>
      <c r="J29" s="1049"/>
      <c r="K29" s="1049"/>
      <c r="L29" s="1049"/>
      <c r="M29" s="1049"/>
      <c r="N29" s="1049"/>
      <c r="O29" s="1049"/>
      <c r="P29" s="1049"/>
      <c r="Q29" s="1168"/>
    </row>
    <row r="30" spans="1:17" s="6" customFormat="1" ht="50.25" customHeight="1" x14ac:dyDescent="0.3">
      <c r="A30" s="1145"/>
      <c r="B30" s="5" t="s">
        <v>383</v>
      </c>
      <c r="C30" s="5" t="s">
        <v>384</v>
      </c>
      <c r="D30" s="122" t="s">
        <v>548</v>
      </c>
      <c r="E30" s="385" t="s">
        <v>512</v>
      </c>
      <c r="F30" s="1054">
        <v>1</v>
      </c>
      <c r="G30" s="1049"/>
      <c r="H30" s="1049"/>
      <c r="I30" s="1049">
        <v>1</v>
      </c>
      <c r="J30" s="1049"/>
      <c r="K30" s="1049"/>
      <c r="L30" s="1049">
        <v>1</v>
      </c>
      <c r="M30" s="1049"/>
      <c r="N30" s="1049"/>
      <c r="O30" s="1049">
        <v>1</v>
      </c>
      <c r="P30" s="1049"/>
      <c r="Q30" s="1168"/>
    </row>
    <row r="31" spans="1:17" s="6" customFormat="1" ht="50.25" customHeight="1" x14ac:dyDescent="0.3">
      <c r="A31" s="1145"/>
      <c r="B31" s="5" t="s">
        <v>546</v>
      </c>
      <c r="C31" s="5" t="s">
        <v>385</v>
      </c>
      <c r="D31" s="77" t="s">
        <v>386</v>
      </c>
      <c r="E31" s="385" t="s">
        <v>508</v>
      </c>
      <c r="F31" s="1175">
        <v>27578</v>
      </c>
      <c r="G31" s="1176"/>
      <c r="H31" s="1176"/>
      <c r="I31" s="1176"/>
      <c r="J31" s="1176"/>
      <c r="K31" s="1176"/>
      <c r="L31" s="1176"/>
      <c r="M31" s="1176"/>
      <c r="N31" s="1176"/>
      <c r="O31" s="1176"/>
      <c r="P31" s="1176"/>
      <c r="Q31" s="1177"/>
    </row>
    <row r="32" spans="1:17" s="6" customFormat="1" ht="50.25" customHeight="1" x14ac:dyDescent="0.3">
      <c r="A32" s="1145"/>
      <c r="B32" s="5" t="s">
        <v>387</v>
      </c>
      <c r="C32" s="5" t="s">
        <v>388</v>
      </c>
      <c r="D32" s="122">
        <v>1</v>
      </c>
      <c r="E32" s="385" t="s">
        <v>508</v>
      </c>
      <c r="F32" s="1173">
        <v>1</v>
      </c>
      <c r="G32" s="1174"/>
      <c r="H32" s="1174"/>
      <c r="I32" s="1174"/>
      <c r="J32" s="1174"/>
      <c r="K32" s="1174"/>
      <c r="L32" s="1174"/>
      <c r="M32" s="1174"/>
      <c r="N32" s="1174"/>
      <c r="O32" s="1174"/>
      <c r="P32" s="1174"/>
      <c r="Q32" s="1178"/>
    </row>
    <row r="33" spans="1:17" s="6" customFormat="1" ht="50.25" customHeight="1" x14ac:dyDescent="0.3">
      <c r="A33" s="1145"/>
      <c r="B33" s="5" t="s">
        <v>389</v>
      </c>
      <c r="C33" s="5" t="s">
        <v>390</v>
      </c>
      <c r="D33" s="77" t="s">
        <v>392</v>
      </c>
      <c r="E33" s="34" t="s">
        <v>511</v>
      </c>
      <c r="F33" s="425">
        <v>0</v>
      </c>
      <c r="G33" s="425">
        <v>0</v>
      </c>
      <c r="H33" s="425">
        <v>0</v>
      </c>
      <c r="I33" s="425">
        <v>0</v>
      </c>
      <c r="J33" s="425">
        <v>0</v>
      </c>
      <c r="K33" s="416">
        <v>0</v>
      </c>
      <c r="L33" s="416">
        <v>0</v>
      </c>
      <c r="M33" s="416">
        <v>0</v>
      </c>
      <c r="N33" s="426">
        <v>0.18729999999999999</v>
      </c>
      <c r="O33" s="426">
        <v>9.3100000000000002E-2</v>
      </c>
      <c r="P33" s="426">
        <v>9.35E-2</v>
      </c>
      <c r="Q33" s="595">
        <v>0.16769999999999999</v>
      </c>
    </row>
    <row r="34" spans="1:17" s="6" customFormat="1" ht="50.25" customHeight="1" x14ac:dyDescent="0.3">
      <c r="A34" s="1145"/>
      <c r="B34" s="5" t="s">
        <v>391</v>
      </c>
      <c r="C34" s="5" t="s">
        <v>507</v>
      </c>
      <c r="D34" s="122" t="s">
        <v>548</v>
      </c>
      <c r="E34" s="385" t="s">
        <v>513</v>
      </c>
      <c r="F34" s="1173" t="s">
        <v>143</v>
      </c>
      <c r="G34" s="1174"/>
      <c r="H34" s="1174"/>
      <c r="I34" s="1174"/>
      <c r="J34" s="1174"/>
      <c r="K34" s="1174"/>
      <c r="L34" s="1174">
        <v>1</v>
      </c>
      <c r="M34" s="1174"/>
      <c r="N34" s="1174"/>
      <c r="O34" s="1174"/>
      <c r="P34" s="1174"/>
      <c r="Q34" s="1178"/>
    </row>
    <row r="35" spans="1:17" s="6" customFormat="1" ht="50.25" customHeight="1" x14ac:dyDescent="0.3">
      <c r="A35" s="1146"/>
      <c r="B35" s="8" t="s">
        <v>509</v>
      </c>
      <c r="C35" s="8" t="s">
        <v>510</v>
      </c>
      <c r="D35" s="87" t="s">
        <v>514</v>
      </c>
      <c r="E35" s="37" t="s">
        <v>508</v>
      </c>
      <c r="F35" s="1179">
        <f>47000</f>
        <v>47000</v>
      </c>
      <c r="G35" s="1180"/>
      <c r="H35" s="1180"/>
      <c r="I35" s="1180"/>
      <c r="J35" s="1180"/>
      <c r="K35" s="1180"/>
      <c r="L35" s="1180"/>
      <c r="M35" s="1180"/>
      <c r="N35" s="1180"/>
      <c r="O35" s="1180"/>
      <c r="P35" s="1180"/>
      <c r="Q35" s="1181"/>
    </row>
    <row r="36" spans="1:17" s="96" customFormat="1" ht="45.75" customHeight="1" x14ac:dyDescent="0.3">
      <c r="A36" s="1144" t="s">
        <v>43</v>
      </c>
      <c r="B36" s="12" t="s">
        <v>393</v>
      </c>
      <c r="C36" s="12" t="s">
        <v>394</v>
      </c>
      <c r="D36" s="76" t="s">
        <v>395</v>
      </c>
      <c r="E36" s="36" t="s">
        <v>512</v>
      </c>
      <c r="F36" s="1046">
        <v>0.96</v>
      </c>
      <c r="G36" s="1097"/>
      <c r="H36" s="1097"/>
      <c r="I36" s="1225">
        <v>0.7142857142857143</v>
      </c>
      <c r="J36" s="1226"/>
      <c r="K36" s="1227"/>
      <c r="L36" s="1159">
        <v>0.81630000000000003</v>
      </c>
      <c r="M36" s="1159"/>
      <c r="N36" s="1159"/>
      <c r="O36" s="1171">
        <v>0.8</v>
      </c>
      <c r="P36" s="969"/>
      <c r="Q36" s="1228"/>
    </row>
    <row r="37" spans="1:17" s="6" customFormat="1" ht="45.75" customHeight="1" x14ac:dyDescent="0.3">
      <c r="A37" s="1145"/>
      <c r="B37" s="5" t="s">
        <v>396</v>
      </c>
      <c r="C37" s="5" t="s">
        <v>397</v>
      </c>
      <c r="D37" s="77" t="s">
        <v>398</v>
      </c>
      <c r="E37" s="34" t="s">
        <v>512</v>
      </c>
      <c r="F37" s="1042">
        <v>0.02</v>
      </c>
      <c r="G37" s="1043"/>
      <c r="H37" s="1043"/>
      <c r="I37" s="1229">
        <v>9.6618357487909801E-4</v>
      </c>
      <c r="J37" s="1229"/>
      <c r="K37" s="1229"/>
      <c r="L37" s="1230">
        <v>9.6525096525112996E-4</v>
      </c>
      <c r="M37" s="1230"/>
      <c r="N37" s="1230"/>
      <c r="O37" s="1211">
        <v>0</v>
      </c>
      <c r="P37" s="1028"/>
      <c r="Q37" s="1260"/>
    </row>
    <row r="38" spans="1:17" s="6" customFormat="1" ht="45.75" customHeight="1" x14ac:dyDescent="0.3">
      <c r="A38" s="1145"/>
      <c r="B38" s="335" t="s">
        <v>543</v>
      </c>
      <c r="C38" s="5" t="s">
        <v>47</v>
      </c>
      <c r="D38" s="77" t="s">
        <v>123</v>
      </c>
      <c r="E38" s="34" t="s">
        <v>512</v>
      </c>
      <c r="F38" s="1208">
        <v>0.06</v>
      </c>
      <c r="G38" s="1209"/>
      <c r="H38" s="1210"/>
      <c r="I38" s="1211">
        <v>0.02</v>
      </c>
      <c r="J38" s="1212"/>
      <c r="K38" s="1212"/>
      <c r="L38" s="1211">
        <v>2.5700000000000001E-2</v>
      </c>
      <c r="M38" s="1212"/>
      <c r="N38" s="1212"/>
      <c r="O38" s="1211">
        <v>2.64E-2</v>
      </c>
      <c r="P38" s="1028"/>
      <c r="Q38" s="1260"/>
    </row>
    <row r="39" spans="1:17" s="6" customFormat="1" ht="45.75" customHeight="1" x14ac:dyDescent="0.3">
      <c r="A39" s="1145"/>
      <c r="B39" s="5" t="s">
        <v>399</v>
      </c>
      <c r="C39" s="5" t="s">
        <v>400</v>
      </c>
      <c r="D39" s="77" t="s">
        <v>522</v>
      </c>
      <c r="E39" s="34" t="s">
        <v>519</v>
      </c>
      <c r="F39" s="1213" t="s">
        <v>584</v>
      </c>
      <c r="G39" s="1213"/>
      <c r="H39" s="1213"/>
      <c r="I39" s="1213" t="s">
        <v>608</v>
      </c>
      <c r="J39" s="1213"/>
      <c r="K39" s="1213"/>
      <c r="L39" s="1212" t="s">
        <v>611</v>
      </c>
      <c r="M39" s="1212"/>
      <c r="N39" s="1212"/>
      <c r="O39" s="1211">
        <v>0.21</v>
      </c>
      <c r="P39" s="1028"/>
      <c r="Q39" s="1260"/>
    </row>
    <row r="40" spans="1:17" s="6" customFormat="1" ht="45.75" customHeight="1" x14ac:dyDescent="0.3">
      <c r="A40" s="1146"/>
      <c r="B40" s="8" t="s">
        <v>401</v>
      </c>
      <c r="C40" s="8" t="s">
        <v>402</v>
      </c>
      <c r="D40" s="87" t="s">
        <v>523</v>
      </c>
      <c r="E40" s="37" t="s">
        <v>519</v>
      </c>
      <c r="F40" s="1082" t="s">
        <v>585</v>
      </c>
      <c r="G40" s="1082"/>
      <c r="H40" s="1082"/>
      <c r="I40" s="1261" t="s">
        <v>609</v>
      </c>
      <c r="J40" s="1261"/>
      <c r="K40" s="1261"/>
      <c r="L40" s="1082" t="s">
        <v>612</v>
      </c>
      <c r="M40" s="1082"/>
      <c r="N40" s="1082"/>
      <c r="O40" s="1261" t="s">
        <v>644</v>
      </c>
      <c r="P40" s="1261"/>
      <c r="Q40" s="1262"/>
    </row>
    <row r="41" spans="1:17" s="6" customFormat="1" ht="45" customHeight="1" x14ac:dyDescent="0.3">
      <c r="A41" s="1144" t="s">
        <v>19</v>
      </c>
      <c r="B41" s="12" t="s">
        <v>403</v>
      </c>
      <c r="C41" s="12" t="s">
        <v>517</v>
      </c>
      <c r="D41" s="93" t="s">
        <v>515</v>
      </c>
      <c r="E41" s="358" t="s">
        <v>511</v>
      </c>
      <c r="F41" s="504">
        <v>829.70799999999997</v>
      </c>
      <c r="G41" s="505">
        <v>1867.079</v>
      </c>
      <c r="H41" s="505">
        <v>3037.1640000000002</v>
      </c>
      <c r="I41" s="505">
        <v>4140.7290000000003</v>
      </c>
      <c r="J41" s="505">
        <v>5001.3630000000003</v>
      </c>
      <c r="K41" s="505">
        <v>6109</v>
      </c>
      <c r="L41" s="467">
        <v>7304</v>
      </c>
      <c r="M41" s="467">
        <v>8346</v>
      </c>
      <c r="N41" s="467">
        <v>9277</v>
      </c>
      <c r="O41" s="467">
        <v>10419</v>
      </c>
      <c r="P41" s="467">
        <v>11495</v>
      </c>
      <c r="Q41" s="648">
        <v>12633</v>
      </c>
    </row>
    <row r="42" spans="1:17" s="6" customFormat="1" ht="45" customHeight="1" x14ac:dyDescent="0.3">
      <c r="A42" s="1145"/>
      <c r="B42" s="5" t="s">
        <v>403</v>
      </c>
      <c r="C42" s="5" t="s">
        <v>518</v>
      </c>
      <c r="D42" s="93" t="s">
        <v>516</v>
      </c>
      <c r="E42" s="359" t="s">
        <v>511</v>
      </c>
      <c r="F42" s="506">
        <v>4.0640000000000001</v>
      </c>
      <c r="G42" s="496">
        <v>7.6580000000000004</v>
      </c>
      <c r="H42" s="496">
        <v>12.13</v>
      </c>
      <c r="I42" s="507">
        <v>13.523</v>
      </c>
      <c r="J42" s="507">
        <v>15.837999999999999</v>
      </c>
      <c r="K42" s="507">
        <v>18</v>
      </c>
      <c r="L42" s="465">
        <v>19</v>
      </c>
      <c r="M42" s="465">
        <v>21</v>
      </c>
      <c r="N42" s="465">
        <v>24</v>
      </c>
      <c r="O42" s="465">
        <v>25</v>
      </c>
      <c r="P42" s="465">
        <v>28</v>
      </c>
      <c r="Q42" s="649">
        <v>31</v>
      </c>
    </row>
    <row r="43" spans="1:17" s="6" customFormat="1" ht="45.75" customHeight="1" x14ac:dyDescent="0.3">
      <c r="A43" s="1144" t="s">
        <v>48</v>
      </c>
      <c r="B43" s="12" t="s">
        <v>404</v>
      </c>
      <c r="C43" s="155" t="s">
        <v>600</v>
      </c>
      <c r="D43" s="223" t="s">
        <v>406</v>
      </c>
      <c r="E43" s="386" t="s">
        <v>601</v>
      </c>
      <c r="F43" s="1232">
        <v>0.64</v>
      </c>
      <c r="G43" s="1233"/>
      <c r="H43" s="1234"/>
      <c r="I43" s="1235">
        <v>0.4</v>
      </c>
      <c r="J43" s="1233"/>
      <c r="K43" s="1234"/>
      <c r="L43" s="1235">
        <v>0.62</v>
      </c>
      <c r="M43" s="1233"/>
      <c r="N43" s="1234"/>
      <c r="O43" s="1235">
        <v>0.63</v>
      </c>
      <c r="P43" s="1233"/>
      <c r="Q43" s="1246"/>
    </row>
    <row r="44" spans="1:17" s="6" customFormat="1" ht="45.75" customHeight="1" x14ac:dyDescent="0.3">
      <c r="A44" s="1145"/>
      <c r="B44" s="5" t="s">
        <v>602</v>
      </c>
      <c r="C44" s="156" t="s">
        <v>603</v>
      </c>
      <c r="D44" s="95" t="s">
        <v>604</v>
      </c>
      <c r="E44" s="387" t="s">
        <v>508</v>
      </c>
      <c r="F44" s="1203">
        <v>0.75</v>
      </c>
      <c r="G44" s="1204"/>
      <c r="H44" s="1204"/>
      <c r="I44" s="1204"/>
      <c r="J44" s="1204"/>
      <c r="K44" s="1204"/>
      <c r="L44" s="1204"/>
      <c r="M44" s="1204"/>
      <c r="N44" s="1204"/>
      <c r="O44" s="1204"/>
      <c r="P44" s="1204"/>
      <c r="Q44" s="1205"/>
    </row>
    <row r="45" spans="1:17" s="6" customFormat="1" ht="45.75" customHeight="1" x14ac:dyDescent="0.3">
      <c r="A45" s="1146"/>
      <c r="B45" s="8" t="s">
        <v>605</v>
      </c>
      <c r="C45" s="157" t="s">
        <v>606</v>
      </c>
      <c r="D45" s="226" t="s">
        <v>607</v>
      </c>
      <c r="E45" s="388" t="s">
        <v>513</v>
      </c>
      <c r="F45" s="1206">
        <v>0</v>
      </c>
      <c r="G45" s="1207"/>
      <c r="H45" s="1207"/>
      <c r="I45" s="1207"/>
      <c r="J45" s="1207"/>
      <c r="K45" s="1207"/>
      <c r="L45" s="1207">
        <v>8.9999999999999993E-3</v>
      </c>
      <c r="M45" s="1207"/>
      <c r="N45" s="1207"/>
      <c r="O45" s="1207"/>
      <c r="P45" s="1207"/>
      <c r="Q45" s="1231"/>
    </row>
    <row r="46" spans="1:17" s="6" customFormat="1" ht="56.25" customHeight="1" x14ac:dyDescent="0.3">
      <c r="A46" s="1144" t="s">
        <v>154</v>
      </c>
      <c r="B46" s="12" t="s">
        <v>413</v>
      </c>
      <c r="C46" s="12" t="s">
        <v>157</v>
      </c>
      <c r="D46" s="76" t="s">
        <v>353</v>
      </c>
      <c r="E46" s="36" t="s">
        <v>508</v>
      </c>
      <c r="F46" s="1163">
        <v>0.85</v>
      </c>
      <c r="G46" s="1027"/>
      <c r="H46" s="1027"/>
      <c r="I46" s="1027"/>
      <c r="J46" s="1027"/>
      <c r="K46" s="1027"/>
      <c r="L46" s="1027"/>
      <c r="M46" s="1027"/>
      <c r="N46" s="1027"/>
      <c r="O46" s="1027"/>
      <c r="P46" s="1027"/>
      <c r="Q46" s="1237"/>
    </row>
    <row r="47" spans="1:17" s="6" customFormat="1" ht="56.25" customHeight="1" x14ac:dyDescent="0.3">
      <c r="A47" s="1146"/>
      <c r="B47" s="8" t="s">
        <v>414</v>
      </c>
      <c r="C47" s="8" t="s">
        <v>415</v>
      </c>
      <c r="D47" s="87" t="s">
        <v>96</v>
      </c>
      <c r="E47" s="388" t="s">
        <v>513</v>
      </c>
      <c r="F47" s="1240">
        <v>1</v>
      </c>
      <c r="G47" s="1241"/>
      <c r="H47" s="1241"/>
      <c r="I47" s="1241"/>
      <c r="J47" s="1241"/>
      <c r="K47" s="1241"/>
      <c r="L47" s="1240">
        <v>1</v>
      </c>
      <c r="M47" s="1241"/>
      <c r="N47" s="1241"/>
      <c r="O47" s="1241"/>
      <c r="P47" s="1241"/>
      <c r="Q47" s="1242"/>
    </row>
    <row r="48" spans="1:17" s="6" customFormat="1" ht="40.5" customHeight="1" x14ac:dyDescent="0.3">
      <c r="A48" s="1144" t="s">
        <v>36</v>
      </c>
      <c r="B48" s="12" t="s">
        <v>416</v>
      </c>
      <c r="C48" s="12" t="s">
        <v>486</v>
      </c>
      <c r="D48" s="76" t="s">
        <v>571</v>
      </c>
      <c r="E48" s="36" t="s">
        <v>519</v>
      </c>
      <c r="F48" s="469">
        <v>0.95814999999999995</v>
      </c>
      <c r="G48" s="470">
        <v>0.95648333333333324</v>
      </c>
      <c r="H48" s="470">
        <v>0.92981666666666662</v>
      </c>
      <c r="I48" s="470">
        <v>0.93500000000000005</v>
      </c>
      <c r="J48" s="470">
        <v>0.95314999999999994</v>
      </c>
      <c r="K48" s="470">
        <v>0.99114999999999998</v>
      </c>
      <c r="L48" s="470">
        <v>0.99312500000000004</v>
      </c>
      <c r="M48" s="470">
        <v>0.99</v>
      </c>
      <c r="N48" s="470">
        <v>0.98</v>
      </c>
      <c r="O48" s="470">
        <v>0.97</v>
      </c>
      <c r="P48" s="537">
        <v>0.98</v>
      </c>
      <c r="Q48" s="520">
        <v>0.98</v>
      </c>
    </row>
    <row r="49" spans="1:18" s="6" customFormat="1" ht="40.5" customHeight="1" x14ac:dyDescent="0.3">
      <c r="A49" s="1145"/>
      <c r="B49" s="5" t="s">
        <v>418</v>
      </c>
      <c r="C49" s="5" t="s">
        <v>487</v>
      </c>
      <c r="D49" s="77" t="s">
        <v>572</v>
      </c>
      <c r="E49" s="34" t="s">
        <v>519</v>
      </c>
      <c r="F49" s="554">
        <v>0.93947999999999998</v>
      </c>
      <c r="G49" s="555">
        <v>0.94347999999999987</v>
      </c>
      <c r="H49" s="555">
        <v>0.95600000000000007</v>
      </c>
      <c r="I49" s="555">
        <v>0.89870000000000005</v>
      </c>
      <c r="J49" s="555">
        <v>0.91600000000000004</v>
      </c>
      <c r="K49" s="555">
        <v>0.98333333333333339</v>
      </c>
      <c r="L49" s="555">
        <v>0.99991666666666668</v>
      </c>
      <c r="M49" s="555">
        <v>1</v>
      </c>
      <c r="N49" s="555">
        <v>1</v>
      </c>
      <c r="O49" s="555">
        <v>0.98</v>
      </c>
      <c r="P49" s="538">
        <v>1</v>
      </c>
      <c r="Q49" s="556">
        <v>1</v>
      </c>
    </row>
    <row r="50" spans="1:18" s="6" customFormat="1" ht="40.5" customHeight="1" x14ac:dyDescent="0.3">
      <c r="A50" s="1145"/>
      <c r="B50" s="5" t="s">
        <v>417</v>
      </c>
      <c r="C50" s="5" t="s">
        <v>488</v>
      </c>
      <c r="D50" s="77" t="s">
        <v>573</v>
      </c>
      <c r="E50" s="162" t="s">
        <v>519</v>
      </c>
      <c r="F50" s="554">
        <v>0.86</v>
      </c>
      <c r="G50" s="555">
        <v>0.85</v>
      </c>
      <c r="H50" s="555">
        <v>0.78</v>
      </c>
      <c r="I50" s="555">
        <v>0.87</v>
      </c>
      <c r="J50" s="555">
        <v>0.83</v>
      </c>
      <c r="K50" s="555">
        <v>0.89</v>
      </c>
      <c r="L50" s="555">
        <v>0.88</v>
      </c>
      <c r="M50" s="555">
        <v>0.83</v>
      </c>
      <c r="N50" s="555">
        <v>0.83</v>
      </c>
      <c r="O50" s="555">
        <v>0.94</v>
      </c>
      <c r="P50" s="538">
        <v>0.91</v>
      </c>
      <c r="Q50" s="556">
        <v>0.88</v>
      </c>
    </row>
    <row r="51" spans="1:18" s="6" customFormat="1" ht="40.5" customHeight="1" x14ac:dyDescent="0.3">
      <c r="A51" s="1145"/>
      <c r="B51" s="5" t="s">
        <v>419</v>
      </c>
      <c r="C51" s="5" t="s">
        <v>488</v>
      </c>
      <c r="D51" s="77" t="s">
        <v>573</v>
      </c>
      <c r="E51" s="162" t="s">
        <v>519</v>
      </c>
      <c r="F51" s="554">
        <v>0.75</v>
      </c>
      <c r="G51" s="555">
        <v>0.77</v>
      </c>
      <c r="H51" s="555">
        <v>0.84</v>
      </c>
      <c r="I51" s="555">
        <v>0.85</v>
      </c>
      <c r="J51" s="555">
        <v>0.71</v>
      </c>
      <c r="K51" s="555">
        <v>0.9</v>
      </c>
      <c r="L51" s="555">
        <v>0.78</v>
      </c>
      <c r="M51" s="555">
        <v>0.87</v>
      </c>
      <c r="N51" s="555">
        <v>0.85</v>
      </c>
      <c r="O51" s="555">
        <v>0.88</v>
      </c>
      <c r="P51" s="538">
        <v>0.67</v>
      </c>
      <c r="Q51" s="556">
        <v>0.72</v>
      </c>
    </row>
    <row r="52" spans="1:18" s="6" customFormat="1" ht="40.5" customHeight="1" x14ac:dyDescent="0.3">
      <c r="A52" s="1145"/>
      <c r="B52" s="5" t="s">
        <v>420</v>
      </c>
      <c r="C52" s="5" t="s">
        <v>421</v>
      </c>
      <c r="D52" s="77" t="s">
        <v>398</v>
      </c>
      <c r="E52" s="162" t="s">
        <v>519</v>
      </c>
      <c r="F52" s="650">
        <v>-0.2090140854396596</v>
      </c>
      <c r="G52" s="651">
        <v>-0.20780624903537601</v>
      </c>
      <c r="H52" s="555">
        <v>0.20402846855953621</v>
      </c>
      <c r="I52" s="555">
        <v>9.0600822211844914E-2</v>
      </c>
      <c r="J52" s="555">
        <v>9.2644997304657362E-2</v>
      </c>
      <c r="K52" s="555">
        <v>0.26102085723891288</v>
      </c>
      <c r="L52" s="555">
        <v>0.20730042606345442</v>
      </c>
      <c r="M52" s="651">
        <v>-3.1344436478161888E-2</v>
      </c>
      <c r="N52" s="651">
        <v>-0.28000000000000003</v>
      </c>
      <c r="O52" s="651">
        <v>0.03</v>
      </c>
      <c r="P52" s="652">
        <v>-0.49</v>
      </c>
      <c r="Q52" s="556">
        <v>0.05</v>
      </c>
    </row>
    <row r="53" spans="1:18" s="6" customFormat="1" ht="40.5" customHeight="1" x14ac:dyDescent="0.3">
      <c r="A53" s="1145"/>
      <c r="B53" s="5" t="s">
        <v>525</v>
      </c>
      <c r="C53" s="5" t="s">
        <v>422</v>
      </c>
      <c r="D53" s="77" t="s">
        <v>398</v>
      </c>
      <c r="E53" s="162" t="s">
        <v>519</v>
      </c>
      <c r="F53" s="650">
        <v>-0.45533969981601846</v>
      </c>
      <c r="G53" s="555">
        <v>0.16436015383192154</v>
      </c>
      <c r="H53" s="651">
        <v>-0.39612175477395406</v>
      </c>
      <c r="I53" s="651">
        <v>-0.3279316796058912</v>
      </c>
      <c r="J53" s="555">
        <v>0.25438165599766788</v>
      </c>
      <c r="K53" s="651">
        <v>-0.18953478511901678</v>
      </c>
      <c r="L53" s="555">
        <v>0.45905820410954179</v>
      </c>
      <c r="M53" s="651">
        <v>-7.0115320909096349E-3</v>
      </c>
      <c r="N53" s="651">
        <v>-0.33</v>
      </c>
      <c r="O53" s="555">
        <v>0.06</v>
      </c>
      <c r="P53" s="652">
        <v>-0.73</v>
      </c>
      <c r="Q53" s="556">
        <v>0.19</v>
      </c>
    </row>
    <row r="54" spans="1:18" s="6" customFormat="1" ht="40.5" customHeight="1" x14ac:dyDescent="0.3">
      <c r="A54" s="1145"/>
      <c r="B54" s="5" t="s">
        <v>423</v>
      </c>
      <c r="C54" s="5" t="s">
        <v>424</v>
      </c>
      <c r="D54" s="77" t="s">
        <v>96</v>
      </c>
      <c r="E54" s="162" t="s">
        <v>519</v>
      </c>
      <c r="F54" s="554">
        <v>1</v>
      </c>
      <c r="G54" s="555">
        <v>1</v>
      </c>
      <c r="H54" s="555">
        <v>1</v>
      </c>
      <c r="I54" s="555">
        <v>1</v>
      </c>
      <c r="J54" s="555">
        <v>1</v>
      </c>
      <c r="K54" s="555">
        <v>1</v>
      </c>
      <c r="L54" s="555">
        <v>1</v>
      </c>
      <c r="M54" s="555">
        <v>1</v>
      </c>
      <c r="N54" s="555">
        <v>1</v>
      </c>
      <c r="O54" s="555">
        <v>1</v>
      </c>
      <c r="P54" s="538">
        <v>1</v>
      </c>
      <c r="Q54" s="556">
        <v>1</v>
      </c>
    </row>
    <row r="55" spans="1:18" s="6" customFormat="1" ht="40.5" customHeight="1" x14ac:dyDescent="0.3">
      <c r="A55" s="1146"/>
      <c r="B55" s="8" t="s">
        <v>425</v>
      </c>
      <c r="C55" s="8" t="s">
        <v>426</v>
      </c>
      <c r="D55" s="87" t="s">
        <v>96</v>
      </c>
      <c r="E55" s="257" t="s">
        <v>519</v>
      </c>
      <c r="F55" s="471">
        <v>1</v>
      </c>
      <c r="G55" s="472">
        <v>1</v>
      </c>
      <c r="H55" s="472">
        <v>1</v>
      </c>
      <c r="I55" s="472">
        <v>1</v>
      </c>
      <c r="J55" s="472">
        <v>1</v>
      </c>
      <c r="K55" s="472">
        <v>1</v>
      </c>
      <c r="L55" s="472">
        <v>1</v>
      </c>
      <c r="M55" s="472">
        <v>1</v>
      </c>
      <c r="N55" s="472">
        <v>1</v>
      </c>
      <c r="O55" s="472">
        <v>1</v>
      </c>
      <c r="P55" s="539">
        <v>1</v>
      </c>
      <c r="Q55" s="521">
        <v>1</v>
      </c>
    </row>
    <row r="56" spans="1:18" ht="49.5" customHeight="1" x14ac:dyDescent="0.3">
      <c r="A56" s="522" t="s">
        <v>134</v>
      </c>
      <c r="B56" s="265" t="s">
        <v>427</v>
      </c>
      <c r="C56" s="264" t="s">
        <v>428</v>
      </c>
      <c r="D56" s="267" t="s">
        <v>406</v>
      </c>
      <c r="E56" s="363" t="s">
        <v>508</v>
      </c>
      <c r="F56" s="1243">
        <v>0.85</v>
      </c>
      <c r="G56" s="1244"/>
      <c r="H56" s="1244"/>
      <c r="I56" s="1244"/>
      <c r="J56" s="1244"/>
      <c r="K56" s="1244"/>
      <c r="L56" s="1244"/>
      <c r="M56" s="1244"/>
      <c r="N56" s="1244"/>
      <c r="O56" s="1244"/>
      <c r="P56" s="1244"/>
      <c r="Q56" s="1245"/>
    </row>
    <row r="57" spans="1:18" s="6" customFormat="1" ht="42" customHeight="1" x14ac:dyDescent="0.3">
      <c r="A57" s="1144" t="s">
        <v>254</v>
      </c>
      <c r="B57" s="12" t="s">
        <v>429</v>
      </c>
      <c r="C57" s="12" t="s">
        <v>430</v>
      </c>
      <c r="D57" s="76" t="s">
        <v>431</v>
      </c>
      <c r="E57" s="243" t="s">
        <v>519</v>
      </c>
      <c r="F57" s="501">
        <v>9.0277777777777787E-3</v>
      </c>
      <c r="G57" s="502">
        <v>1.1238425925925928E-2</v>
      </c>
      <c r="H57" s="502">
        <v>1.2187500000000002E-2</v>
      </c>
      <c r="I57" s="609">
        <v>1.6157407407407409E-2</v>
      </c>
      <c r="J57" s="610">
        <v>1.6342592592592593E-2</v>
      </c>
      <c r="K57" s="611" t="s">
        <v>598</v>
      </c>
      <c r="L57" s="511">
        <v>1.3101851851851852E-2</v>
      </c>
      <c r="M57" s="511">
        <v>1.3333333333333334E-2</v>
      </c>
      <c r="N57" s="511">
        <v>1.1550925925925925E-2</v>
      </c>
      <c r="O57" s="502">
        <v>1.1984767025089613E-2</v>
      </c>
      <c r="P57" s="501">
        <v>1.3796296296296298E-2</v>
      </c>
      <c r="Q57" s="501">
        <v>1.0108024691358014E-2</v>
      </c>
    </row>
    <row r="58" spans="1:18" s="6" customFormat="1" ht="42" customHeight="1" x14ac:dyDescent="0.3">
      <c r="A58" s="1145"/>
      <c r="B58" s="5" t="s">
        <v>429</v>
      </c>
      <c r="C58" s="5" t="s">
        <v>432</v>
      </c>
      <c r="D58" s="77" t="s">
        <v>433</v>
      </c>
      <c r="E58" s="162" t="s">
        <v>519</v>
      </c>
      <c r="F58" s="482">
        <v>5.6944444444444438E-3</v>
      </c>
      <c r="G58" s="482">
        <v>6.0416666666666665E-3</v>
      </c>
      <c r="H58" s="482">
        <v>7.8356481481481489E-3</v>
      </c>
      <c r="I58" s="482">
        <v>1.3923611111111111E-2</v>
      </c>
      <c r="J58" s="443">
        <v>1.4108796296296295E-2</v>
      </c>
      <c r="K58" s="441" t="s">
        <v>610</v>
      </c>
      <c r="L58" s="512">
        <v>7.6851851851851847E-3</v>
      </c>
      <c r="M58" s="512">
        <v>9.4444444444444445E-3</v>
      </c>
      <c r="N58" s="591">
        <v>9.0277777777777787E-3</v>
      </c>
      <c r="O58" s="482">
        <v>1.0289351851851852E-2</v>
      </c>
      <c r="P58" s="443">
        <v>1.1137059438470733E-2</v>
      </c>
      <c r="Q58" s="501">
        <v>8.976466049382726E-3</v>
      </c>
    </row>
    <row r="59" spans="1:18" s="6" customFormat="1" ht="42" customHeight="1" x14ac:dyDescent="0.3">
      <c r="A59" s="1146"/>
      <c r="B59" s="8" t="s">
        <v>434</v>
      </c>
      <c r="C59" s="8" t="s">
        <v>435</v>
      </c>
      <c r="D59" s="87" t="s">
        <v>436</v>
      </c>
      <c r="E59" s="257" t="s">
        <v>513</v>
      </c>
      <c r="F59" s="1214">
        <v>3.9</v>
      </c>
      <c r="G59" s="1215"/>
      <c r="H59" s="1215"/>
      <c r="I59" s="1215"/>
      <c r="J59" s="1215"/>
      <c r="K59" s="1215"/>
      <c r="L59" s="1216">
        <v>3.78</v>
      </c>
      <c r="M59" s="1217"/>
      <c r="N59" s="1217"/>
      <c r="O59" s="1217"/>
      <c r="P59" s="1217"/>
      <c r="Q59" s="1218"/>
      <c r="R59" s="653">
        <f>(1*L59/F59)-1</f>
        <v>-3.0769230769230771E-2</v>
      </c>
    </row>
    <row r="60" spans="1:18" s="6" customFormat="1" ht="45" customHeight="1" x14ac:dyDescent="0.3">
      <c r="A60" s="1144" t="s">
        <v>253</v>
      </c>
      <c r="B60" s="12" t="s">
        <v>437</v>
      </c>
      <c r="C60" s="12" t="s">
        <v>438</v>
      </c>
      <c r="D60" s="76" t="s">
        <v>439</v>
      </c>
      <c r="E60" s="243" t="s">
        <v>519</v>
      </c>
      <c r="F60" s="443" t="s">
        <v>555</v>
      </c>
      <c r="G60" s="443" t="s">
        <v>555</v>
      </c>
      <c r="H60" s="443" t="s">
        <v>555</v>
      </c>
      <c r="I60" s="443" t="s">
        <v>555</v>
      </c>
      <c r="J60" s="443" t="s">
        <v>555</v>
      </c>
      <c r="K60" s="400">
        <v>0.81</v>
      </c>
      <c r="L60" s="444">
        <f>404*0.246305418719212%</f>
        <v>0.99507389162561644</v>
      </c>
      <c r="M60" s="400">
        <f>513*0.192678227360308%</f>
        <v>0.98843930635838018</v>
      </c>
      <c r="N60" s="400">
        <f>403*0.246913580246914%</f>
        <v>0.99506172839506346</v>
      </c>
      <c r="O60" s="400">
        <v>0.97716894977168944</v>
      </c>
      <c r="P60" s="535">
        <f>183/186</f>
        <v>0.9838709677419355</v>
      </c>
      <c r="Q60" s="536">
        <f>202/207</f>
        <v>0.97584541062801933</v>
      </c>
    </row>
    <row r="61" spans="1:18" s="6" customFormat="1" ht="45" customHeight="1" x14ac:dyDescent="0.3">
      <c r="A61" s="1145"/>
      <c r="B61" s="5" t="s">
        <v>440</v>
      </c>
      <c r="C61" s="5" t="s">
        <v>441</v>
      </c>
      <c r="D61" s="77" t="s">
        <v>442</v>
      </c>
      <c r="E61" s="162" t="s">
        <v>519</v>
      </c>
      <c r="F61" s="477">
        <v>0.39</v>
      </c>
      <c r="G61" s="478">
        <v>0.45</v>
      </c>
      <c r="H61" s="478">
        <v>0.37</v>
      </c>
      <c r="I61" s="478">
        <v>0.41</v>
      </c>
      <c r="J61" s="478">
        <v>0.39</v>
      </c>
      <c r="K61" s="406">
        <v>0.23</v>
      </c>
      <c r="L61" s="406">
        <f>324*0.235294117647059%</f>
        <v>0.76235294117647112</v>
      </c>
      <c r="M61" s="406">
        <f>4.01/519%</f>
        <v>0.77263969171483615</v>
      </c>
      <c r="N61" s="406">
        <f>330*0.229885057471264%</f>
        <v>0.75862068965517127</v>
      </c>
      <c r="O61" s="406">
        <v>0.25874125874125875</v>
      </c>
      <c r="P61" s="597">
        <f>39/163</f>
        <v>0.2392638036809816</v>
      </c>
      <c r="Q61" s="598">
        <f>49/204</f>
        <v>0.24019607843137256</v>
      </c>
    </row>
    <row r="62" spans="1:18" s="6" customFormat="1" ht="45" customHeight="1" x14ac:dyDescent="0.3">
      <c r="A62" s="1145"/>
      <c r="B62" s="5" t="s">
        <v>443</v>
      </c>
      <c r="C62" s="5" t="s">
        <v>444</v>
      </c>
      <c r="D62" s="77" t="s">
        <v>448</v>
      </c>
      <c r="E62" s="162" t="s">
        <v>519</v>
      </c>
      <c r="F62" s="477">
        <v>0.99</v>
      </c>
      <c r="G62" s="478">
        <v>0.98</v>
      </c>
      <c r="H62" s="478">
        <v>0.94</v>
      </c>
      <c r="I62" s="478">
        <v>0.95</v>
      </c>
      <c r="J62" s="478">
        <v>0.93</v>
      </c>
      <c r="K62" s="406">
        <v>0.98</v>
      </c>
      <c r="L62" s="406">
        <f>209*0.460829493087558%</f>
        <v>0.96313364055299633</v>
      </c>
      <c r="M62" s="406">
        <f>247*0.4%</f>
        <v>0.98799999999999999</v>
      </c>
      <c r="N62" s="406">
        <f>239*0.418410041841004%</f>
        <v>0.99999999999999944</v>
      </c>
      <c r="O62" s="406">
        <v>0.98347107438016523</v>
      </c>
      <c r="P62" s="597">
        <f>115/115</f>
        <v>1</v>
      </c>
      <c r="Q62" s="598">
        <f>113/113</f>
        <v>1</v>
      </c>
    </row>
    <row r="63" spans="1:18" s="6" customFormat="1" ht="45" customHeight="1" x14ac:dyDescent="0.3">
      <c r="A63" s="1145"/>
      <c r="B63" s="124" t="s">
        <v>445</v>
      </c>
      <c r="C63" s="124" t="s">
        <v>446</v>
      </c>
      <c r="D63" s="77" t="s">
        <v>447</v>
      </c>
      <c r="E63" s="162" t="s">
        <v>519</v>
      </c>
      <c r="F63" s="477">
        <v>0.48</v>
      </c>
      <c r="G63" s="478">
        <v>0.55000000000000004</v>
      </c>
      <c r="H63" s="478">
        <v>0.84</v>
      </c>
      <c r="I63" s="478">
        <v>0.6</v>
      </c>
      <c r="J63" s="478">
        <v>0.59</v>
      </c>
      <c r="K63" s="406">
        <v>0.54</v>
      </c>
      <c r="L63" s="406">
        <f>109*0.465116279069767%</f>
        <v>0.50697674418604599</v>
      </c>
      <c r="M63" s="406">
        <f>108*0.40650406504065%</f>
        <v>0.439024390243902</v>
      </c>
      <c r="N63" s="406">
        <f>115*0.434782608695652%</f>
        <v>0.49999999999999983</v>
      </c>
      <c r="O63" s="406">
        <v>0.56000000000000005</v>
      </c>
      <c r="P63" s="597">
        <f>90/173</f>
        <v>0.52023121387283233</v>
      </c>
      <c r="Q63" s="598">
        <f>73/177</f>
        <v>0.41242937853107342</v>
      </c>
    </row>
    <row r="64" spans="1:18" s="6" customFormat="1" ht="45" customHeight="1" x14ac:dyDescent="0.3">
      <c r="A64" s="1146"/>
      <c r="B64" s="542" t="s">
        <v>434</v>
      </c>
      <c r="C64" s="542" t="s">
        <v>435</v>
      </c>
      <c r="D64" s="87" t="s">
        <v>398</v>
      </c>
      <c r="E64" s="257" t="s">
        <v>512</v>
      </c>
      <c r="F64" s="1219">
        <v>3.5</v>
      </c>
      <c r="G64" s="1215"/>
      <c r="H64" s="1215"/>
      <c r="I64" s="1215"/>
      <c r="J64" s="1215"/>
      <c r="K64" s="1215"/>
      <c r="L64" s="1223">
        <v>3.82</v>
      </c>
      <c r="M64" s="1215"/>
      <c r="N64" s="1215"/>
      <c r="O64" s="1215"/>
      <c r="P64" s="1215"/>
      <c r="Q64" s="1224"/>
      <c r="R64" s="654">
        <f>(1*L64/F64)-1</f>
        <v>9.1428571428571415E-2</v>
      </c>
    </row>
    <row r="65" spans="1:22" s="6" customFormat="1" ht="48" customHeight="1" x14ac:dyDescent="0.3">
      <c r="A65" s="1144" t="s">
        <v>31</v>
      </c>
      <c r="B65" s="12" t="s">
        <v>449</v>
      </c>
      <c r="C65" s="12" t="s">
        <v>450</v>
      </c>
      <c r="D65" s="659" t="s">
        <v>643</v>
      </c>
      <c r="E65" s="243" t="s">
        <v>511</v>
      </c>
      <c r="F65" s="662">
        <v>8.59375E-2</v>
      </c>
      <c r="G65" s="662">
        <v>8.3665338645418322E-2</v>
      </c>
      <c r="H65" s="662">
        <v>8.3665338645418322E-2</v>
      </c>
      <c r="I65" s="662">
        <v>7.2580645161290328E-2</v>
      </c>
      <c r="J65" s="662">
        <v>7.08502024291498E-2</v>
      </c>
      <c r="K65" s="662">
        <v>6.9721115537848599E-2</v>
      </c>
      <c r="L65" s="592">
        <v>6.0311284046692608E-2</v>
      </c>
      <c r="M65" s="662">
        <v>6.25E-2</v>
      </c>
      <c r="N65" s="662">
        <v>7.03125E-2</v>
      </c>
      <c r="O65" s="662">
        <v>7.2834645669291334E-2</v>
      </c>
      <c r="P65" s="662">
        <v>7.03125E-2</v>
      </c>
      <c r="Q65" s="663">
        <v>7.0866141732283464E-2</v>
      </c>
      <c r="R65" s="655"/>
      <c r="S65" s="656"/>
      <c r="T65" s="656"/>
      <c r="U65" s="656"/>
      <c r="V65" s="657"/>
    </row>
    <row r="66" spans="1:22" s="6" customFormat="1" ht="48" customHeight="1" x14ac:dyDescent="0.3">
      <c r="A66" s="1145"/>
      <c r="B66" s="5" t="s">
        <v>544</v>
      </c>
      <c r="C66" s="5" t="s">
        <v>661</v>
      </c>
      <c r="D66" s="660" t="s">
        <v>550</v>
      </c>
      <c r="E66" s="162" t="s">
        <v>512</v>
      </c>
      <c r="F66" s="1220">
        <v>0.63900000000000001</v>
      </c>
      <c r="G66" s="1221"/>
      <c r="H66" s="1221"/>
      <c r="I66" s="1221"/>
      <c r="J66" s="1221"/>
      <c r="K66" s="1221"/>
      <c r="L66" s="1221"/>
      <c r="M66" s="1221"/>
      <c r="N66" s="1221"/>
      <c r="O66" s="1221"/>
      <c r="P66" s="1221"/>
      <c r="Q66" s="1222"/>
      <c r="R66" s="658"/>
    </row>
    <row r="67" spans="1:22" s="6" customFormat="1" ht="48" customHeight="1" x14ac:dyDescent="0.3">
      <c r="A67" s="1145"/>
      <c r="B67" s="5" t="s">
        <v>453</v>
      </c>
      <c r="C67" s="5" t="s">
        <v>454</v>
      </c>
      <c r="D67" s="660" t="s">
        <v>657</v>
      </c>
      <c r="E67" s="34" t="s">
        <v>508</v>
      </c>
      <c r="F67" s="1190">
        <v>5.0599999999999999E-2</v>
      </c>
      <c r="G67" s="1191"/>
      <c r="H67" s="1191"/>
      <c r="I67" s="1191"/>
      <c r="J67" s="1191"/>
      <c r="K67" s="1191"/>
      <c r="L67" s="1191"/>
      <c r="M67" s="1191"/>
      <c r="N67" s="1191"/>
      <c r="O67" s="1191"/>
      <c r="P67" s="1191"/>
      <c r="Q67" s="1192"/>
    </row>
    <row r="68" spans="1:22" s="6" customFormat="1" ht="48" customHeight="1" x14ac:dyDescent="0.3">
      <c r="A68" s="1146"/>
      <c r="B68" s="8" t="s">
        <v>455</v>
      </c>
      <c r="C68" s="8" t="s">
        <v>456</v>
      </c>
      <c r="D68" s="661" t="s">
        <v>658</v>
      </c>
      <c r="E68" s="37" t="s">
        <v>512</v>
      </c>
      <c r="F68" s="1193">
        <v>0</v>
      </c>
      <c r="G68" s="1103"/>
      <c r="H68" s="1194"/>
      <c r="I68" s="1193">
        <v>0</v>
      </c>
      <c r="J68" s="1103"/>
      <c r="K68" s="1194"/>
      <c r="L68" s="1193">
        <v>0</v>
      </c>
      <c r="M68" s="1103"/>
      <c r="N68" s="1194"/>
      <c r="O68" s="1193">
        <v>0</v>
      </c>
      <c r="P68" s="1103"/>
      <c r="Q68" s="1195"/>
    </row>
    <row r="69" spans="1:22" s="6" customFormat="1" ht="42.75" customHeight="1" x14ac:dyDescent="0.3">
      <c r="A69" s="1144" t="s">
        <v>17</v>
      </c>
      <c r="B69" s="12" t="s">
        <v>458</v>
      </c>
      <c r="C69" s="12" t="s">
        <v>459</v>
      </c>
      <c r="D69" s="36" t="s">
        <v>460</v>
      </c>
      <c r="E69" s="351" t="s">
        <v>511</v>
      </c>
      <c r="F69" s="12">
        <v>1</v>
      </c>
      <c r="G69" s="12">
        <v>1</v>
      </c>
      <c r="H69" s="12">
        <v>0</v>
      </c>
      <c r="I69" s="12">
        <v>0</v>
      </c>
      <c r="J69" s="12">
        <v>0</v>
      </c>
      <c r="K69" s="548">
        <v>0</v>
      </c>
      <c r="L69" s="366">
        <v>0</v>
      </c>
      <c r="M69" s="366">
        <v>0</v>
      </c>
      <c r="N69" s="366">
        <v>0</v>
      </c>
      <c r="O69" s="543">
        <v>0</v>
      </c>
      <c r="P69" s="543">
        <v>0</v>
      </c>
      <c r="Q69" s="523">
        <v>0</v>
      </c>
    </row>
    <row r="70" spans="1:22" s="6" customFormat="1" ht="42.75" customHeight="1" x14ac:dyDescent="0.3">
      <c r="A70" s="1146"/>
      <c r="B70" s="8" t="s">
        <v>461</v>
      </c>
      <c r="C70" s="8" t="s">
        <v>462</v>
      </c>
      <c r="D70" s="37" t="s">
        <v>463</v>
      </c>
      <c r="E70" s="354" t="s">
        <v>511</v>
      </c>
      <c r="F70" s="664">
        <v>2</v>
      </c>
      <c r="G70" s="664">
        <v>3</v>
      </c>
      <c r="H70" s="8">
        <v>0</v>
      </c>
      <c r="I70" s="8">
        <v>0</v>
      </c>
      <c r="J70" s="8">
        <v>0</v>
      </c>
      <c r="K70" s="514">
        <v>0</v>
      </c>
      <c r="L70" s="364">
        <v>0</v>
      </c>
      <c r="M70" s="364">
        <v>0</v>
      </c>
      <c r="N70" s="364">
        <v>0</v>
      </c>
      <c r="O70" s="544">
        <v>0</v>
      </c>
      <c r="P70" s="544">
        <v>0</v>
      </c>
      <c r="Q70" s="524">
        <v>0</v>
      </c>
    </row>
    <row r="71" spans="1:22" s="6" customFormat="1" ht="44.25" customHeight="1" x14ac:dyDescent="0.3">
      <c r="A71" s="1144" t="s">
        <v>1</v>
      </c>
      <c r="B71" s="12" t="s">
        <v>464</v>
      </c>
      <c r="C71" s="12" t="s">
        <v>465</v>
      </c>
      <c r="D71" s="76" t="s">
        <v>466</v>
      </c>
      <c r="E71" s="36" t="s">
        <v>513</v>
      </c>
      <c r="F71" s="1236">
        <v>1</v>
      </c>
      <c r="G71" s="1038"/>
      <c r="H71" s="1038"/>
      <c r="I71" s="1038"/>
      <c r="J71" s="1038"/>
      <c r="K71" s="1038"/>
      <c r="L71" s="1027">
        <v>100</v>
      </c>
      <c r="M71" s="1027"/>
      <c r="N71" s="1027"/>
      <c r="O71" s="1027"/>
      <c r="P71" s="1027"/>
      <c r="Q71" s="1237"/>
    </row>
    <row r="72" spans="1:22" s="6" customFormat="1" ht="44.25" customHeight="1" x14ac:dyDescent="0.3">
      <c r="A72" s="1146"/>
      <c r="B72" s="8" t="s">
        <v>467</v>
      </c>
      <c r="C72" s="8" t="s">
        <v>468</v>
      </c>
      <c r="D72" s="87" t="s">
        <v>469</v>
      </c>
      <c r="E72" s="37" t="s">
        <v>508</v>
      </c>
      <c r="F72" s="1080">
        <v>0.95</v>
      </c>
      <c r="G72" s="1238"/>
      <c r="H72" s="1238"/>
      <c r="I72" s="1238"/>
      <c r="J72" s="1238"/>
      <c r="K72" s="1238"/>
      <c r="L72" s="1238"/>
      <c r="M72" s="1238"/>
      <c r="N72" s="1238"/>
      <c r="O72" s="1238"/>
      <c r="P72" s="1238"/>
      <c r="Q72" s="1239"/>
    </row>
    <row r="73" spans="1:22" s="6" customFormat="1" ht="45" customHeight="1" x14ac:dyDescent="0.3">
      <c r="A73" s="1144" t="s">
        <v>412</v>
      </c>
      <c r="B73" s="12" t="s">
        <v>470</v>
      </c>
      <c r="C73" s="12" t="s">
        <v>471</v>
      </c>
      <c r="D73" s="76" t="s">
        <v>472</v>
      </c>
      <c r="E73" s="36" t="s">
        <v>511</v>
      </c>
      <c r="F73" s="665">
        <v>0</v>
      </c>
      <c r="G73" s="666">
        <v>0</v>
      </c>
      <c r="H73" s="666">
        <v>2500</v>
      </c>
      <c r="I73" s="666">
        <v>0</v>
      </c>
      <c r="J73" s="666">
        <v>8500</v>
      </c>
      <c r="K73" s="667">
        <v>4500</v>
      </c>
      <c r="L73" s="666">
        <v>0</v>
      </c>
      <c r="M73" s="666">
        <v>2000</v>
      </c>
      <c r="N73" s="668">
        <v>0</v>
      </c>
      <c r="O73" s="668">
        <v>1300</v>
      </c>
      <c r="P73" s="668">
        <v>15140</v>
      </c>
      <c r="Q73" s="669">
        <v>9000</v>
      </c>
      <c r="R73" s="670">
        <f>+SUM(F73:Q73)</f>
        <v>42940</v>
      </c>
    </row>
    <row r="74" spans="1:22" s="6" customFormat="1" ht="45" customHeight="1" x14ac:dyDescent="0.3">
      <c r="A74" s="1145"/>
      <c r="B74" s="5" t="s">
        <v>473</v>
      </c>
      <c r="C74" s="5" t="s">
        <v>474</v>
      </c>
      <c r="D74" s="77" t="s">
        <v>406</v>
      </c>
      <c r="E74" s="34" t="s">
        <v>512</v>
      </c>
      <c r="F74" s="1054">
        <v>1</v>
      </c>
      <c r="G74" s="1049"/>
      <c r="H74" s="1049"/>
      <c r="I74" s="1049">
        <v>1</v>
      </c>
      <c r="J74" s="972"/>
      <c r="K74" s="972"/>
      <c r="L74" s="1049">
        <v>1</v>
      </c>
      <c r="M74" s="972"/>
      <c r="N74" s="972"/>
      <c r="O74" s="1159">
        <v>1</v>
      </c>
      <c r="P74" s="1159"/>
      <c r="Q74" s="1160"/>
    </row>
    <row r="75" spans="1:22" s="6" customFormat="1" ht="45" customHeight="1" x14ac:dyDescent="0.3">
      <c r="A75" s="1145"/>
      <c r="B75" s="5" t="s">
        <v>475</v>
      </c>
      <c r="C75" s="5" t="s">
        <v>189</v>
      </c>
      <c r="D75" s="77" t="s">
        <v>96</v>
      </c>
      <c r="E75" s="34" t="s">
        <v>547</v>
      </c>
      <c r="F75" s="1169">
        <v>0.8</v>
      </c>
      <c r="G75" s="1188"/>
      <c r="H75" s="1188"/>
      <c r="I75" s="1188"/>
      <c r="J75" s="1188"/>
      <c r="K75" s="1188"/>
      <c r="L75" s="1188"/>
      <c r="M75" s="1188"/>
      <c r="N75" s="1188"/>
      <c r="O75" s="1188"/>
      <c r="P75" s="1188"/>
      <c r="Q75" s="1189"/>
    </row>
    <row r="76" spans="1:22" s="6" customFormat="1" ht="45" customHeight="1" x14ac:dyDescent="0.3">
      <c r="A76" s="1146"/>
      <c r="B76" s="8" t="s">
        <v>476</v>
      </c>
      <c r="C76" s="8" t="s">
        <v>190</v>
      </c>
      <c r="D76" s="87" t="s">
        <v>96</v>
      </c>
      <c r="E76" s="37" t="s">
        <v>547</v>
      </c>
      <c r="F76" s="1196">
        <v>0.7</v>
      </c>
      <c r="G76" s="1197"/>
      <c r="H76" s="1197"/>
      <c r="I76" s="1197"/>
      <c r="J76" s="1197"/>
      <c r="K76" s="1197"/>
      <c r="L76" s="1197"/>
      <c r="M76" s="1197"/>
      <c r="N76" s="1197"/>
      <c r="O76" s="1197"/>
      <c r="P76" s="1197"/>
      <c r="Q76" s="1198"/>
    </row>
    <row r="77" spans="1:22" s="6" customFormat="1" ht="43.2" x14ac:dyDescent="0.3">
      <c r="A77" s="1199" t="s">
        <v>56</v>
      </c>
      <c r="B77" s="1133" t="s">
        <v>526</v>
      </c>
      <c r="C77" s="366" t="s">
        <v>527</v>
      </c>
      <c r="D77" s="367">
        <v>0.95</v>
      </c>
      <c r="E77" s="76" t="s">
        <v>519</v>
      </c>
      <c r="F77" s="341">
        <v>1</v>
      </c>
      <c r="G77" s="341">
        <v>1</v>
      </c>
      <c r="H77" s="341">
        <v>1</v>
      </c>
      <c r="I77" s="341">
        <v>1</v>
      </c>
      <c r="J77" s="341">
        <v>1</v>
      </c>
      <c r="K77" s="341">
        <v>1</v>
      </c>
      <c r="L77" s="383">
        <v>1</v>
      </c>
      <c r="M77" s="383">
        <v>1</v>
      </c>
      <c r="N77" s="383">
        <v>1</v>
      </c>
      <c r="O77" s="383">
        <v>1</v>
      </c>
      <c r="P77" s="383">
        <v>1</v>
      </c>
      <c r="Q77" s="599">
        <v>1</v>
      </c>
    </row>
    <row r="78" spans="1:22" s="6" customFormat="1" ht="53.25" customHeight="1" x14ac:dyDescent="0.3">
      <c r="A78" s="1200"/>
      <c r="B78" s="1134"/>
      <c r="C78" s="328" t="s">
        <v>529</v>
      </c>
      <c r="D78" s="329">
        <v>0.95</v>
      </c>
      <c r="E78" s="77" t="s">
        <v>512</v>
      </c>
      <c r="F78" s="1138">
        <v>1</v>
      </c>
      <c r="G78" s="1136"/>
      <c r="H78" s="1137"/>
      <c r="I78" s="1138">
        <v>1</v>
      </c>
      <c r="J78" s="1136"/>
      <c r="K78" s="1137"/>
      <c r="L78" s="1044">
        <v>1</v>
      </c>
      <c r="M78" s="1053"/>
      <c r="N78" s="1054"/>
      <c r="O78" s="1044">
        <v>1</v>
      </c>
      <c r="P78" s="1053"/>
      <c r="Q78" s="1054"/>
    </row>
    <row r="79" spans="1:22" s="6" customFormat="1" ht="47.25" customHeight="1" x14ac:dyDescent="0.3">
      <c r="A79" s="1200"/>
      <c r="B79" s="1134" t="s">
        <v>530</v>
      </c>
      <c r="C79" s="328" t="s">
        <v>531</v>
      </c>
      <c r="D79" s="329">
        <v>0.95</v>
      </c>
      <c r="E79" s="77" t="s">
        <v>519</v>
      </c>
      <c r="F79" s="383">
        <v>0.99550000000000005</v>
      </c>
      <c r="G79" s="383">
        <v>0.9919</v>
      </c>
      <c r="H79" s="383">
        <v>0.99229999999999996</v>
      </c>
      <c r="I79" s="383">
        <v>0.99890000000000001</v>
      </c>
      <c r="J79" s="383">
        <v>0.99219999999999997</v>
      </c>
      <c r="K79" s="383">
        <v>1</v>
      </c>
      <c r="L79" s="383">
        <v>0.97660000000000002</v>
      </c>
      <c r="M79" s="383">
        <v>1</v>
      </c>
      <c r="N79" s="383">
        <v>1</v>
      </c>
      <c r="O79" s="383">
        <v>0.99</v>
      </c>
      <c r="P79" s="383">
        <v>0.98</v>
      </c>
      <c r="Q79" s="599">
        <v>0.98</v>
      </c>
    </row>
    <row r="80" spans="1:22" s="6" customFormat="1" ht="30" customHeight="1" x14ac:dyDescent="0.3">
      <c r="A80" s="1200"/>
      <c r="B80" s="1134"/>
      <c r="C80" s="457" t="s">
        <v>576</v>
      </c>
      <c r="D80" s="458"/>
      <c r="E80" s="305"/>
      <c r="F80" s="547"/>
      <c r="G80" s="547"/>
      <c r="H80" s="547"/>
      <c r="I80" s="383"/>
      <c r="J80" s="383"/>
      <c r="K80" s="383"/>
      <c r="L80" s="383"/>
      <c r="M80" s="383"/>
      <c r="N80" s="383"/>
      <c r="O80" s="383"/>
      <c r="Q80" s="602"/>
    </row>
    <row r="81" spans="1:17" s="6" customFormat="1" ht="47.25" customHeight="1" x14ac:dyDescent="0.3">
      <c r="A81" s="1200"/>
      <c r="B81" s="1134"/>
      <c r="C81" s="451" t="s">
        <v>532</v>
      </c>
      <c r="D81" s="484">
        <v>0.95</v>
      </c>
      <c r="E81" s="269" t="s">
        <v>519</v>
      </c>
      <c r="F81" s="383">
        <v>1</v>
      </c>
      <c r="G81" s="383">
        <v>1</v>
      </c>
      <c r="H81" s="383">
        <v>1</v>
      </c>
      <c r="I81" s="383">
        <v>1</v>
      </c>
      <c r="J81" s="383">
        <v>1</v>
      </c>
      <c r="K81" s="383">
        <v>1</v>
      </c>
      <c r="L81" s="383">
        <v>1</v>
      </c>
      <c r="M81" s="383">
        <v>1</v>
      </c>
      <c r="N81" s="383">
        <v>1</v>
      </c>
      <c r="O81" s="383">
        <v>1</v>
      </c>
      <c r="P81" s="383">
        <v>1</v>
      </c>
      <c r="Q81" s="599">
        <v>1</v>
      </c>
    </row>
    <row r="82" spans="1:17" s="6" customFormat="1" ht="47.25" customHeight="1" x14ac:dyDescent="0.3">
      <c r="A82" s="1200"/>
      <c r="B82" s="1134"/>
      <c r="C82" s="330" t="s">
        <v>533</v>
      </c>
      <c r="D82" s="122">
        <v>0.9</v>
      </c>
      <c r="E82" s="77" t="s">
        <v>519</v>
      </c>
      <c r="F82" s="383">
        <v>1</v>
      </c>
      <c r="G82" s="383">
        <v>1</v>
      </c>
      <c r="H82" s="377">
        <v>0.67</v>
      </c>
      <c r="I82" s="383">
        <v>1</v>
      </c>
      <c r="J82" s="383">
        <v>1</v>
      </c>
      <c r="K82" s="383">
        <v>1</v>
      </c>
      <c r="L82" s="377">
        <v>0.57140000000000002</v>
      </c>
      <c r="M82" s="383">
        <v>1</v>
      </c>
      <c r="N82" s="383">
        <v>1</v>
      </c>
      <c r="O82" s="383">
        <v>0.9</v>
      </c>
      <c r="P82" s="377">
        <v>0.84</v>
      </c>
      <c r="Q82" s="599">
        <v>0.89</v>
      </c>
    </row>
    <row r="83" spans="1:17" s="6" customFormat="1" ht="47.25" customHeight="1" x14ac:dyDescent="0.3">
      <c r="A83" s="1200"/>
      <c r="B83" s="1134"/>
      <c r="C83" s="330" t="s">
        <v>534</v>
      </c>
      <c r="D83" s="122">
        <v>0.8</v>
      </c>
      <c r="E83" s="77" t="s">
        <v>519</v>
      </c>
      <c r="F83" s="377">
        <v>0.7893</v>
      </c>
      <c r="G83" s="377">
        <v>0.73</v>
      </c>
      <c r="H83" s="383">
        <v>0.89</v>
      </c>
      <c r="I83" s="383">
        <v>0.93</v>
      </c>
      <c r="J83" s="383">
        <v>0.94159999999999999</v>
      </c>
      <c r="K83" s="383">
        <v>0.90200000000000002</v>
      </c>
      <c r="L83" s="377">
        <v>0.60619999999999996</v>
      </c>
      <c r="M83" s="377">
        <v>0.68420000000000003</v>
      </c>
      <c r="N83" s="383">
        <v>0.90510000000000002</v>
      </c>
      <c r="O83" s="383">
        <v>0.97</v>
      </c>
      <c r="P83" s="383">
        <v>0.93</v>
      </c>
      <c r="Q83" s="599">
        <v>0.86</v>
      </c>
    </row>
    <row r="84" spans="1:17" ht="47.25" customHeight="1" x14ac:dyDescent="0.3">
      <c r="A84" s="1200"/>
      <c r="B84" s="1134"/>
      <c r="C84" s="330" t="s">
        <v>535</v>
      </c>
      <c r="D84" s="122">
        <v>0.75</v>
      </c>
      <c r="E84" s="77" t="s">
        <v>519</v>
      </c>
      <c r="F84" s="383">
        <v>0.86360000000000003</v>
      </c>
      <c r="G84" s="383">
        <v>0.82609999999999995</v>
      </c>
      <c r="H84" s="383">
        <v>1</v>
      </c>
      <c r="I84" s="383">
        <v>0.94</v>
      </c>
      <c r="J84" s="383">
        <v>0.97560000000000002</v>
      </c>
      <c r="K84" s="383">
        <v>0.91479999999999995</v>
      </c>
      <c r="L84" s="377">
        <v>0.72409999999999997</v>
      </c>
      <c r="M84" s="413">
        <v>0.625</v>
      </c>
      <c r="N84" s="383">
        <v>0.92310000000000003</v>
      </c>
      <c r="O84" s="383">
        <v>1</v>
      </c>
      <c r="P84" s="383">
        <v>1</v>
      </c>
      <c r="Q84" s="599">
        <v>1</v>
      </c>
    </row>
    <row r="85" spans="1:17" ht="57.6" x14ac:dyDescent="0.3">
      <c r="A85" s="1200"/>
      <c r="B85" s="337" t="s">
        <v>479</v>
      </c>
      <c r="C85" s="328" t="s">
        <v>536</v>
      </c>
      <c r="D85" s="331" t="s">
        <v>537</v>
      </c>
      <c r="E85" s="77" t="s">
        <v>519</v>
      </c>
      <c r="F85" s="333">
        <v>40</v>
      </c>
      <c r="G85" s="333">
        <v>0</v>
      </c>
      <c r="H85" s="333">
        <v>0</v>
      </c>
      <c r="I85" s="333">
        <v>0</v>
      </c>
      <c r="J85" s="503">
        <v>13.16</v>
      </c>
      <c r="K85" s="333">
        <v>38</v>
      </c>
      <c r="L85" s="513">
        <v>96</v>
      </c>
      <c r="M85" s="333">
        <v>0</v>
      </c>
      <c r="N85" s="333">
        <v>0</v>
      </c>
      <c r="O85" s="333">
        <v>0</v>
      </c>
      <c r="P85" s="333">
        <v>0</v>
      </c>
      <c r="Q85" s="603">
        <v>0</v>
      </c>
    </row>
    <row r="86" spans="1:17" ht="57.6" x14ac:dyDescent="0.3">
      <c r="A86" s="1200"/>
      <c r="B86" s="337" t="s">
        <v>477</v>
      </c>
      <c r="C86" s="328" t="s">
        <v>536</v>
      </c>
      <c r="D86" s="331" t="s">
        <v>537</v>
      </c>
      <c r="E86" s="77" t="s">
        <v>519</v>
      </c>
      <c r="F86" s="334">
        <v>0</v>
      </c>
      <c r="G86" s="334">
        <v>0</v>
      </c>
      <c r="H86" s="334">
        <v>0</v>
      </c>
      <c r="I86" s="334">
        <v>0</v>
      </c>
      <c r="J86" s="334">
        <v>0</v>
      </c>
      <c r="K86" s="334">
        <v>0</v>
      </c>
      <c r="L86" s="334">
        <v>0</v>
      </c>
      <c r="M86" s="334">
        <v>0</v>
      </c>
      <c r="N86" s="334">
        <v>0</v>
      </c>
      <c r="O86" s="334">
        <v>0</v>
      </c>
      <c r="P86" s="334">
        <v>0</v>
      </c>
      <c r="Q86" s="604">
        <v>32</v>
      </c>
    </row>
    <row r="87" spans="1:17" ht="46.5" customHeight="1" x14ac:dyDescent="0.3">
      <c r="A87" s="1200"/>
      <c r="B87" s="1134" t="s">
        <v>538</v>
      </c>
      <c r="C87" s="328" t="s">
        <v>478</v>
      </c>
      <c r="D87" s="389">
        <v>0</v>
      </c>
      <c r="E87" s="77" t="s">
        <v>519</v>
      </c>
      <c r="F87" s="5">
        <v>0</v>
      </c>
      <c r="G87" s="5">
        <v>0</v>
      </c>
      <c r="H87" s="5">
        <v>0</v>
      </c>
      <c r="I87" s="5">
        <v>0</v>
      </c>
      <c r="J87" s="5">
        <v>0</v>
      </c>
      <c r="K87" s="5">
        <v>0</v>
      </c>
      <c r="L87" s="5">
        <v>0</v>
      </c>
      <c r="M87" s="5">
        <v>0</v>
      </c>
      <c r="N87" s="5">
        <v>0</v>
      </c>
      <c r="O87" s="5">
        <v>0</v>
      </c>
      <c r="P87" s="5">
        <v>0</v>
      </c>
      <c r="Q87" s="603">
        <v>0</v>
      </c>
    </row>
    <row r="88" spans="1:17" ht="58.2" thickBot="1" x14ac:dyDescent="0.35">
      <c r="A88" s="1201"/>
      <c r="B88" s="1202"/>
      <c r="C88" s="525" t="s">
        <v>539</v>
      </c>
      <c r="D88" s="526" t="s">
        <v>540</v>
      </c>
      <c r="E88" s="527" t="s">
        <v>512</v>
      </c>
      <c r="F88" s="1182">
        <v>0</v>
      </c>
      <c r="G88" s="1183"/>
      <c r="H88" s="1184"/>
      <c r="I88" s="1182">
        <v>0</v>
      </c>
      <c r="J88" s="1183"/>
      <c r="K88" s="1184"/>
      <c r="L88" s="1182">
        <v>0</v>
      </c>
      <c r="M88" s="1183"/>
      <c r="N88" s="1184"/>
      <c r="O88" s="1185">
        <v>0</v>
      </c>
      <c r="P88" s="1186"/>
      <c r="Q88" s="1187"/>
    </row>
    <row r="89" spans="1:17" ht="30.75" customHeight="1" x14ac:dyDescent="0.3"/>
    <row r="90" spans="1:17" ht="30.75" customHeight="1" x14ac:dyDescent="0.3"/>
    <row r="91" spans="1:17" ht="30.75" customHeight="1" x14ac:dyDescent="0.3"/>
    <row r="92" spans="1:17" ht="30.75" customHeight="1" x14ac:dyDescent="0.3"/>
    <row r="93" spans="1:17" ht="30.75" customHeight="1" x14ac:dyDescent="0.3"/>
    <row r="94" spans="1:17" ht="30.75" customHeight="1" x14ac:dyDescent="0.3"/>
    <row r="95" spans="1:17" ht="30.75" customHeight="1" x14ac:dyDescent="0.3"/>
    <row r="96" spans="1:17" ht="30.75" customHeight="1" x14ac:dyDescent="0.3"/>
    <row r="97" ht="30.75" customHeight="1" x14ac:dyDescent="0.3"/>
    <row r="98" ht="30.75" customHeight="1" x14ac:dyDescent="0.3"/>
    <row r="99" ht="30.75" customHeight="1" x14ac:dyDescent="0.3"/>
    <row r="100" ht="30.75" customHeight="1" x14ac:dyDescent="0.3"/>
    <row r="101" ht="30.75" customHeight="1" x14ac:dyDescent="0.3"/>
    <row r="102" ht="30.75" customHeight="1" x14ac:dyDescent="0.3"/>
    <row r="103" ht="30.75" customHeight="1" x14ac:dyDescent="0.3"/>
    <row r="104" ht="30.75" customHeight="1" x14ac:dyDescent="0.3"/>
    <row r="105" ht="30.75" customHeight="1" x14ac:dyDescent="0.3"/>
    <row r="106" ht="30.75" customHeight="1" x14ac:dyDescent="0.3"/>
    <row r="107" ht="30.75" customHeight="1" x14ac:dyDescent="0.3"/>
    <row r="108" ht="30.75" customHeight="1" x14ac:dyDescent="0.3"/>
    <row r="109" ht="30.75" customHeight="1" x14ac:dyDescent="0.3"/>
    <row r="110" ht="30.75" customHeight="1" x14ac:dyDescent="0.3"/>
    <row r="111" ht="30.75" customHeight="1" x14ac:dyDescent="0.3"/>
    <row r="112" ht="30.75" customHeight="1" x14ac:dyDescent="0.3"/>
    <row r="113" ht="30.75" customHeight="1" x14ac:dyDescent="0.3"/>
    <row r="114" ht="30.75" customHeight="1" x14ac:dyDescent="0.3"/>
    <row r="115" ht="30.75" customHeight="1" x14ac:dyDescent="0.3"/>
    <row r="116" ht="30.75" customHeight="1" x14ac:dyDescent="0.3"/>
    <row r="117" ht="30.75" customHeight="1" x14ac:dyDescent="0.3"/>
    <row r="118" ht="30.75" customHeight="1" x14ac:dyDescent="0.3"/>
    <row r="119" ht="30.75" customHeight="1" x14ac:dyDescent="0.3"/>
    <row r="120" ht="30.75" customHeight="1" x14ac:dyDescent="0.3"/>
    <row r="121" ht="30.75" customHeight="1" x14ac:dyDescent="0.3"/>
    <row r="122" ht="30.75" customHeight="1" x14ac:dyDescent="0.3"/>
    <row r="123" ht="30.75" customHeight="1" x14ac:dyDescent="0.3"/>
    <row r="124" ht="30.75" customHeight="1" x14ac:dyDescent="0.3"/>
    <row r="125" ht="30.75" customHeight="1" x14ac:dyDescent="0.3"/>
    <row r="126" ht="30.75" customHeight="1" x14ac:dyDescent="0.3"/>
    <row r="127" ht="30.75" customHeight="1" x14ac:dyDescent="0.3"/>
    <row r="128" ht="30.75" customHeight="1" x14ac:dyDescent="0.3"/>
    <row r="129" ht="30.75" customHeight="1" x14ac:dyDescent="0.3"/>
    <row r="130" ht="30.75" customHeight="1" x14ac:dyDescent="0.3"/>
    <row r="131" ht="30.75" customHeight="1" x14ac:dyDescent="0.3"/>
    <row r="132" ht="30.75" customHeight="1" x14ac:dyDescent="0.3"/>
    <row r="133" ht="30.75" customHeight="1" x14ac:dyDescent="0.3"/>
    <row r="134" ht="30.75" customHeight="1" x14ac:dyDescent="0.3"/>
    <row r="135" ht="30.75" customHeight="1" x14ac:dyDescent="0.3"/>
    <row r="136" ht="30.75" customHeight="1" x14ac:dyDescent="0.3"/>
    <row r="137" ht="30.75" customHeight="1" x14ac:dyDescent="0.3"/>
    <row r="138" ht="30.75" customHeight="1" x14ac:dyDescent="0.3"/>
    <row r="139" ht="30.75" customHeight="1" x14ac:dyDescent="0.3"/>
    <row r="140" ht="30.75" customHeight="1" x14ac:dyDescent="0.3"/>
    <row r="141" ht="30.75" customHeight="1" x14ac:dyDescent="0.3"/>
    <row r="142" ht="30.75" customHeight="1" x14ac:dyDescent="0.3"/>
    <row r="143" ht="30.75" customHeight="1" x14ac:dyDescent="0.3"/>
    <row r="144" ht="30.75" customHeight="1" x14ac:dyDescent="0.3"/>
    <row r="145" ht="30.75" customHeight="1" x14ac:dyDescent="0.3"/>
    <row r="146" ht="30.75" customHeight="1" x14ac:dyDescent="0.3"/>
    <row r="147" ht="30.75" customHeight="1" x14ac:dyDescent="0.3"/>
    <row r="148" ht="30.75" customHeight="1" x14ac:dyDescent="0.3"/>
    <row r="149" ht="30.75" customHeight="1" x14ac:dyDescent="0.3"/>
    <row r="150" ht="30.75" customHeight="1" x14ac:dyDescent="0.3"/>
    <row r="151" ht="30.75" customHeight="1" x14ac:dyDescent="0.3"/>
    <row r="152" ht="30.75" customHeight="1" x14ac:dyDescent="0.3"/>
    <row r="153" ht="30.75" customHeight="1" x14ac:dyDescent="0.3"/>
    <row r="154" ht="30.75" customHeight="1" x14ac:dyDescent="0.3"/>
    <row r="155" ht="30.75" customHeight="1" x14ac:dyDescent="0.3"/>
    <row r="156" ht="30.75" customHeight="1" x14ac:dyDescent="0.3"/>
    <row r="157" ht="30.75" customHeight="1" x14ac:dyDescent="0.3"/>
    <row r="158" ht="30.75" customHeight="1" x14ac:dyDescent="0.3"/>
    <row r="159" ht="30.75" customHeight="1" x14ac:dyDescent="0.3"/>
    <row r="160" ht="30.75" customHeight="1" x14ac:dyDescent="0.3"/>
    <row r="161" ht="30.75" customHeight="1" x14ac:dyDescent="0.3"/>
    <row r="162" ht="30.75" customHeight="1" x14ac:dyDescent="0.3"/>
    <row r="163" ht="30.75" customHeight="1" x14ac:dyDescent="0.3"/>
    <row r="164" ht="30.75" customHeight="1" x14ac:dyDescent="0.3"/>
    <row r="165" ht="30.75" customHeight="1" x14ac:dyDescent="0.3"/>
    <row r="166" ht="30.75" customHeight="1" x14ac:dyDescent="0.3"/>
    <row r="167" ht="30.75" customHeight="1" x14ac:dyDescent="0.3"/>
    <row r="168" ht="30.75" customHeight="1" x14ac:dyDescent="0.3"/>
    <row r="169" ht="30.75" customHeight="1" x14ac:dyDescent="0.3"/>
    <row r="170" ht="30.75" customHeight="1" x14ac:dyDescent="0.3"/>
    <row r="171" ht="30.75" customHeight="1" x14ac:dyDescent="0.3"/>
    <row r="172" ht="30.75" customHeight="1" x14ac:dyDescent="0.3"/>
    <row r="173" ht="30.75" customHeight="1" x14ac:dyDescent="0.3"/>
    <row r="174" ht="30.75" customHeight="1" x14ac:dyDescent="0.3"/>
    <row r="175" ht="30.75" customHeight="1" x14ac:dyDescent="0.3"/>
    <row r="176" ht="30.75" customHeight="1" x14ac:dyDescent="0.3"/>
    <row r="177" ht="30.75" customHeight="1" x14ac:dyDescent="0.3"/>
    <row r="178" ht="30.75" customHeight="1" x14ac:dyDescent="0.3"/>
    <row r="179" ht="30.75" customHeight="1" x14ac:dyDescent="0.3"/>
    <row r="180" ht="30.75" customHeight="1" x14ac:dyDescent="0.3"/>
    <row r="181" ht="30.75" customHeight="1" x14ac:dyDescent="0.3"/>
    <row r="182" ht="30.75" customHeight="1" x14ac:dyDescent="0.3"/>
    <row r="183" ht="30.75" customHeight="1" x14ac:dyDescent="0.3"/>
    <row r="184" ht="30.75" customHeight="1" x14ac:dyDescent="0.3"/>
    <row r="185" ht="30.75" customHeight="1" x14ac:dyDescent="0.3"/>
    <row r="186" ht="30.75" customHeight="1" x14ac:dyDescent="0.3"/>
    <row r="187" ht="30.75" customHeight="1" x14ac:dyDescent="0.3"/>
    <row r="188" ht="30.75" customHeight="1" x14ac:dyDescent="0.3"/>
    <row r="189" ht="30.75" customHeight="1" x14ac:dyDescent="0.3"/>
    <row r="190" ht="30.75" customHeight="1" x14ac:dyDescent="0.3"/>
    <row r="191" ht="30.75" customHeight="1" x14ac:dyDescent="0.3"/>
    <row r="192" ht="30.75" customHeight="1" x14ac:dyDescent="0.3"/>
    <row r="193" ht="30.75" customHeight="1" x14ac:dyDescent="0.3"/>
    <row r="194" ht="30.75" customHeight="1" x14ac:dyDescent="0.3"/>
    <row r="195" ht="30.75" customHeight="1" x14ac:dyDescent="0.3"/>
    <row r="196" ht="30.75" customHeight="1" x14ac:dyDescent="0.3"/>
    <row r="197" ht="30.75" customHeight="1" x14ac:dyDescent="0.3"/>
    <row r="198" ht="30.75" customHeight="1" x14ac:dyDescent="0.3"/>
    <row r="199" ht="30.75" customHeight="1" x14ac:dyDescent="0.3"/>
    <row r="200" ht="30.75" customHeight="1" x14ac:dyDescent="0.3"/>
    <row r="201" ht="30.75" customHeight="1" x14ac:dyDescent="0.3"/>
    <row r="202" ht="30.75" customHeight="1" x14ac:dyDescent="0.3"/>
    <row r="203" ht="30.75" customHeight="1" x14ac:dyDescent="0.3"/>
    <row r="204" ht="30.75" customHeight="1" x14ac:dyDescent="0.3"/>
    <row r="205" ht="30.75" customHeight="1" x14ac:dyDescent="0.3"/>
    <row r="206" ht="30.75" customHeight="1" x14ac:dyDescent="0.3"/>
    <row r="207" ht="30.75" customHeight="1" x14ac:dyDescent="0.3"/>
    <row r="208" ht="30.75" customHeight="1" x14ac:dyDescent="0.3"/>
    <row r="209" ht="30.75" customHeight="1" x14ac:dyDescent="0.3"/>
    <row r="210" ht="30.75" customHeight="1" x14ac:dyDescent="0.3"/>
    <row r="211" ht="30.75" customHeight="1" x14ac:dyDescent="0.3"/>
    <row r="212" ht="30.75" customHeight="1" x14ac:dyDescent="0.3"/>
    <row r="213" ht="30.75" customHeight="1" x14ac:dyDescent="0.3"/>
    <row r="214" ht="30.75" customHeight="1" x14ac:dyDescent="0.3"/>
    <row r="215" ht="48" customHeight="1" x14ac:dyDescent="0.3"/>
    <row r="216" ht="30.75" customHeight="1" x14ac:dyDescent="0.3"/>
    <row r="217" ht="30.75" customHeight="1" x14ac:dyDescent="0.3"/>
    <row r="218" ht="30.75" customHeight="1" x14ac:dyDescent="0.3"/>
    <row r="219" ht="39.75" customHeight="1" x14ac:dyDescent="0.3"/>
    <row r="220" ht="30.75" customHeight="1" x14ac:dyDescent="0.3"/>
    <row r="221" ht="30.75" customHeight="1" x14ac:dyDescent="0.3"/>
    <row r="222" ht="30.75" customHeight="1" x14ac:dyDescent="0.3"/>
    <row r="223" ht="30.75" customHeight="1" x14ac:dyDescent="0.3"/>
    <row r="224" ht="30.75" customHeight="1" x14ac:dyDescent="0.3"/>
    <row r="225" ht="30.75" customHeight="1" x14ac:dyDescent="0.3"/>
    <row r="226" ht="30.75" customHeight="1" x14ac:dyDescent="0.3"/>
    <row r="227" ht="41.25" customHeight="1" x14ac:dyDescent="0.3"/>
    <row r="228" ht="30.75" customHeight="1" x14ac:dyDescent="0.3"/>
    <row r="229" ht="30.75" customHeight="1" x14ac:dyDescent="0.3"/>
    <row r="230" ht="30.75" customHeight="1" x14ac:dyDescent="0.3"/>
    <row r="231" ht="30.75" customHeight="1" x14ac:dyDescent="0.3"/>
    <row r="232" ht="30.75" customHeight="1" x14ac:dyDescent="0.3"/>
    <row r="233" ht="30.75" customHeight="1" x14ac:dyDescent="0.3"/>
    <row r="234" ht="30.75" customHeight="1" x14ac:dyDescent="0.3"/>
    <row r="235" ht="30.75" customHeight="1" x14ac:dyDescent="0.3"/>
    <row r="236" ht="30.75" customHeight="1" x14ac:dyDescent="0.3"/>
    <row r="237" ht="30.75" customHeight="1" x14ac:dyDescent="0.3"/>
    <row r="238" ht="30.75" customHeight="1" x14ac:dyDescent="0.3"/>
    <row r="239" ht="30.75" customHeight="1" x14ac:dyDescent="0.3"/>
    <row r="240" ht="30.75" customHeight="1" x14ac:dyDescent="0.3"/>
    <row r="241" ht="30.75" customHeight="1" x14ac:dyDescent="0.3"/>
    <row r="242" ht="30.75" customHeight="1" x14ac:dyDescent="0.3"/>
    <row r="243" ht="30.75" customHeight="1" x14ac:dyDescent="0.3"/>
    <row r="244" ht="30.75" customHeight="1" x14ac:dyDescent="0.3"/>
    <row r="245" ht="30.75" customHeight="1" x14ac:dyDescent="0.3"/>
    <row r="246" ht="30.75" customHeight="1" x14ac:dyDescent="0.3"/>
    <row r="247" ht="30.75" customHeight="1" x14ac:dyDescent="0.3"/>
    <row r="248" ht="30.75" customHeight="1" x14ac:dyDescent="0.3"/>
    <row r="249" ht="30.75" customHeight="1" x14ac:dyDescent="0.3"/>
    <row r="250" ht="30.75" customHeight="1" x14ac:dyDescent="0.3"/>
    <row r="251" ht="30.75" customHeight="1" x14ac:dyDescent="0.3"/>
    <row r="252" ht="30.75" customHeight="1" x14ac:dyDescent="0.3"/>
    <row r="253" ht="30.75" customHeight="1" x14ac:dyDescent="0.3"/>
    <row r="254" ht="30.75" customHeight="1" x14ac:dyDescent="0.3"/>
    <row r="255" ht="30.75" customHeight="1" x14ac:dyDescent="0.3"/>
    <row r="256" ht="30.75" customHeight="1" x14ac:dyDescent="0.3"/>
    <row r="257" ht="30.75" customHeight="1" x14ac:dyDescent="0.3"/>
    <row r="258" ht="30.75" customHeight="1" x14ac:dyDescent="0.3"/>
    <row r="259" ht="30.75" customHeight="1" x14ac:dyDescent="0.3"/>
    <row r="260" ht="30.75" customHeight="1" x14ac:dyDescent="0.3"/>
    <row r="261" ht="30.75" customHeight="1" x14ac:dyDescent="0.3"/>
    <row r="262" ht="30.75" customHeight="1" x14ac:dyDescent="0.3"/>
    <row r="263" ht="30.75" customHeight="1" x14ac:dyDescent="0.3"/>
    <row r="264" ht="30.75" customHeight="1" x14ac:dyDescent="0.3"/>
    <row r="265" ht="30.75" customHeight="1" x14ac:dyDescent="0.3"/>
    <row r="266" ht="30.75" customHeight="1" x14ac:dyDescent="0.3"/>
    <row r="267" ht="30.75" customHeight="1" x14ac:dyDescent="0.3"/>
    <row r="268" ht="30.75" customHeight="1" x14ac:dyDescent="0.3"/>
    <row r="269" ht="30.75" customHeight="1" x14ac:dyDescent="0.3"/>
    <row r="270" ht="30.75" customHeight="1" x14ac:dyDescent="0.3"/>
    <row r="271" ht="30.75" customHeight="1" x14ac:dyDescent="0.3"/>
    <row r="272" ht="30.75" customHeight="1" x14ac:dyDescent="0.3"/>
    <row r="273" ht="30.75" customHeight="1" x14ac:dyDescent="0.3"/>
    <row r="274" ht="30.75" customHeight="1" x14ac:dyDescent="0.3"/>
    <row r="275" ht="30.75" customHeight="1" x14ac:dyDescent="0.3"/>
    <row r="276" ht="30.75" customHeight="1" x14ac:dyDescent="0.3"/>
    <row r="277" ht="30.75" customHeight="1" x14ac:dyDescent="0.3"/>
    <row r="278" ht="30.75" customHeight="1" x14ac:dyDescent="0.3"/>
    <row r="279" ht="30.75" customHeight="1" x14ac:dyDescent="0.3"/>
    <row r="280" ht="30.75" customHeight="1" x14ac:dyDescent="0.3"/>
    <row r="281" ht="30.75" customHeight="1" x14ac:dyDescent="0.3"/>
    <row r="282" ht="30.75" customHeight="1" x14ac:dyDescent="0.3"/>
    <row r="283" ht="30.75" customHeight="1" x14ac:dyDescent="0.3"/>
    <row r="284" ht="42.75" customHeight="1" x14ac:dyDescent="0.3"/>
    <row r="285" ht="30.75" customHeight="1" x14ac:dyDescent="0.3"/>
    <row r="286" ht="44.25" customHeight="1" x14ac:dyDescent="0.3"/>
    <row r="287" ht="30.75" customHeight="1" x14ac:dyDescent="0.3"/>
    <row r="288" ht="40.5" customHeight="1" x14ac:dyDescent="0.3"/>
    <row r="289" ht="39.75" customHeight="1" x14ac:dyDescent="0.3"/>
    <row r="290" ht="30.75" customHeight="1" x14ac:dyDescent="0.3"/>
    <row r="291" ht="30.75" customHeight="1" x14ac:dyDescent="0.3"/>
    <row r="292" ht="30.75" customHeight="1" x14ac:dyDescent="0.3"/>
    <row r="293" ht="30.75" customHeight="1" x14ac:dyDescent="0.3"/>
    <row r="294" ht="30.75" customHeight="1" x14ac:dyDescent="0.3"/>
    <row r="295" ht="30.75" customHeight="1" x14ac:dyDescent="0.3"/>
    <row r="296" ht="30.75" customHeight="1" x14ac:dyDescent="0.3"/>
    <row r="297" ht="30.75" customHeight="1" x14ac:dyDescent="0.3"/>
    <row r="298" ht="30.75" customHeight="1" x14ac:dyDescent="0.3"/>
    <row r="299" ht="45.75" customHeight="1" x14ac:dyDescent="0.3"/>
    <row r="300" ht="30.75" customHeight="1" x14ac:dyDescent="0.3"/>
    <row r="301" ht="30.75" customHeight="1" x14ac:dyDescent="0.3"/>
    <row r="302" ht="30.75" customHeight="1" x14ac:dyDescent="0.3"/>
    <row r="303" ht="42" customHeight="1" x14ac:dyDescent="0.3"/>
    <row r="304" ht="30.75" customHeight="1" x14ac:dyDescent="0.3"/>
    <row r="305" ht="30.75" customHeight="1" x14ac:dyDescent="0.3"/>
    <row r="306" ht="30.75" customHeight="1" x14ac:dyDescent="0.3"/>
  </sheetData>
  <mergeCells count="140">
    <mergeCell ref="O9:Q9"/>
    <mergeCell ref="B10:B11"/>
    <mergeCell ref="L43:N43"/>
    <mergeCell ref="O43:Q43"/>
    <mergeCell ref="I39:K39"/>
    <mergeCell ref="L39:N39"/>
    <mergeCell ref="I26:K26"/>
    <mergeCell ref="L26:N26"/>
    <mergeCell ref="O26:Q26"/>
    <mergeCell ref="F27:H27"/>
    <mergeCell ref="I27:K27"/>
    <mergeCell ref="L27:N27"/>
    <mergeCell ref="O27:Q27"/>
    <mergeCell ref="L18:Q18"/>
    <mergeCell ref="F15:Q15"/>
    <mergeCell ref="O37:Q37"/>
    <mergeCell ref="F40:H40"/>
    <mergeCell ref="I40:K40"/>
    <mergeCell ref="L40:N40"/>
    <mergeCell ref="O38:Q38"/>
    <mergeCell ref="O39:Q39"/>
    <mergeCell ref="O40:Q40"/>
    <mergeCell ref="L45:Q45"/>
    <mergeCell ref="F43:H43"/>
    <mergeCell ref="I43:K43"/>
    <mergeCell ref="A69:A70"/>
    <mergeCell ref="A71:A72"/>
    <mergeCell ref="F71:K71"/>
    <mergeCell ref="L71:Q71"/>
    <mergeCell ref="F72:Q72"/>
    <mergeCell ref="A46:A47"/>
    <mergeCell ref="F46:Q46"/>
    <mergeCell ref="F47:K47"/>
    <mergeCell ref="L47:Q47"/>
    <mergeCell ref="A48:A55"/>
    <mergeCell ref="F56:Q56"/>
    <mergeCell ref="A41:A42"/>
    <mergeCell ref="A43:A45"/>
    <mergeCell ref="F44:Q44"/>
    <mergeCell ref="F45:K45"/>
    <mergeCell ref="F38:H38"/>
    <mergeCell ref="I38:K38"/>
    <mergeCell ref="L38:N38"/>
    <mergeCell ref="F39:H39"/>
    <mergeCell ref="O74:Q74"/>
    <mergeCell ref="A57:A59"/>
    <mergeCell ref="F59:K59"/>
    <mergeCell ref="L59:Q59"/>
    <mergeCell ref="A60:A64"/>
    <mergeCell ref="F64:K64"/>
    <mergeCell ref="F66:Q66"/>
    <mergeCell ref="L64:Q64"/>
    <mergeCell ref="A36:A40"/>
    <mergeCell ref="F36:H36"/>
    <mergeCell ref="I36:K36"/>
    <mergeCell ref="L36:N36"/>
    <mergeCell ref="O36:Q36"/>
    <mergeCell ref="F37:H37"/>
    <mergeCell ref="I37:K37"/>
    <mergeCell ref="L37:N37"/>
    <mergeCell ref="F88:H88"/>
    <mergeCell ref="I88:K88"/>
    <mergeCell ref="L88:N88"/>
    <mergeCell ref="O88:Q88"/>
    <mergeCell ref="F75:Q75"/>
    <mergeCell ref="A65:A68"/>
    <mergeCell ref="F67:Q67"/>
    <mergeCell ref="F68:H68"/>
    <mergeCell ref="I68:K68"/>
    <mergeCell ref="L68:N68"/>
    <mergeCell ref="O68:Q68"/>
    <mergeCell ref="F76:Q76"/>
    <mergeCell ref="A77:A88"/>
    <mergeCell ref="B77:B78"/>
    <mergeCell ref="F78:H78"/>
    <mergeCell ref="I78:K78"/>
    <mergeCell ref="L78:N78"/>
    <mergeCell ref="O78:Q78"/>
    <mergeCell ref="B79:B84"/>
    <mergeCell ref="B87:B88"/>
    <mergeCell ref="A73:A76"/>
    <mergeCell ref="F74:H74"/>
    <mergeCell ref="I74:K74"/>
    <mergeCell ref="L74:N74"/>
    <mergeCell ref="A24:A27"/>
    <mergeCell ref="F25:H25"/>
    <mergeCell ref="I25:K25"/>
    <mergeCell ref="L25:N25"/>
    <mergeCell ref="O25:Q25"/>
    <mergeCell ref="F26:H26"/>
    <mergeCell ref="A28:A35"/>
    <mergeCell ref="F28:K28"/>
    <mergeCell ref="L28:Q28"/>
    <mergeCell ref="F29:Q29"/>
    <mergeCell ref="F30:H30"/>
    <mergeCell ref="I30:K30"/>
    <mergeCell ref="L30:N30"/>
    <mergeCell ref="O30:Q30"/>
    <mergeCell ref="F34:K34"/>
    <mergeCell ref="F31:Q31"/>
    <mergeCell ref="F32:Q32"/>
    <mergeCell ref="F35:Q35"/>
    <mergeCell ref="L34:Q34"/>
    <mergeCell ref="A16:A18"/>
    <mergeCell ref="F16:H16"/>
    <mergeCell ref="I16:K16"/>
    <mergeCell ref="L16:N16"/>
    <mergeCell ref="O16:Q16"/>
    <mergeCell ref="F17:H17"/>
    <mergeCell ref="I17:K17"/>
    <mergeCell ref="B22:B23"/>
    <mergeCell ref="B19:B21"/>
    <mergeCell ref="L17:N17"/>
    <mergeCell ref="O17:Q17"/>
    <mergeCell ref="F18:K18"/>
    <mergeCell ref="A19:A23"/>
    <mergeCell ref="A12:A15"/>
    <mergeCell ref="B8:B9"/>
    <mergeCell ref="F8:H8"/>
    <mergeCell ref="I8:K8"/>
    <mergeCell ref="G3:H3"/>
    <mergeCell ref="F5:H5"/>
    <mergeCell ref="I5:K5"/>
    <mergeCell ref="L5:N5"/>
    <mergeCell ref="O5:Q5"/>
    <mergeCell ref="A7:A11"/>
    <mergeCell ref="F7:Q7"/>
    <mergeCell ref="F10:H10"/>
    <mergeCell ref="I10:K10"/>
    <mergeCell ref="L10:N10"/>
    <mergeCell ref="O10:Q10"/>
    <mergeCell ref="F11:H11"/>
    <mergeCell ref="I11:K11"/>
    <mergeCell ref="L11:N11"/>
    <mergeCell ref="O11:Q11"/>
    <mergeCell ref="L8:N8"/>
    <mergeCell ref="O8:Q8"/>
    <mergeCell ref="F9:H9"/>
    <mergeCell ref="I9:K9"/>
    <mergeCell ref="L9:N9"/>
  </mergeCells>
  <pageMargins left="0.31496062992125984" right="0.31496062992125984" top="0.35433070866141736" bottom="0.35433070866141736" header="0.31496062992125984" footer="0.19685039370078741"/>
  <pageSetup paperSize="9" scale="37" fitToHeight="0" orientation="portrait" r:id="rId1"/>
  <headerFooter>
    <oddFooter>&amp;C&amp;9&amp;K00-048&amp;P / &amp;N</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9"/>
  <sheetViews>
    <sheetView showGridLines="0" tabSelected="1" zoomScale="59" zoomScaleNormal="59" workbookViewId="0">
      <pane xSplit="1" ySplit="6" topLeftCell="B7" activePane="bottomRight" state="frozen"/>
      <selection pane="topRight" activeCell="B1" sqref="B1"/>
      <selection pane="bottomLeft" activeCell="A7" sqref="A7"/>
      <selection pane="bottomRight" activeCell="F7" sqref="F7:Q7"/>
    </sheetView>
  </sheetViews>
  <sheetFormatPr baseColWidth="10" defaultRowHeight="14.4" x14ac:dyDescent="0.3"/>
  <cols>
    <col min="1" max="1" width="21.88671875" customWidth="1"/>
    <col min="2" max="2" width="47.88671875" customWidth="1"/>
    <col min="3" max="3" width="47.88671875" style="116" customWidth="1"/>
    <col min="4" max="4" width="29.44140625" customWidth="1"/>
    <col min="5" max="5" width="16.44140625" bestFit="1" customWidth="1"/>
    <col min="6" max="7" width="16" customWidth="1"/>
    <col min="8" max="12" width="15.88671875" customWidth="1"/>
    <col min="13" max="14" width="15.88671875" style="116" customWidth="1"/>
    <col min="15" max="15" width="15.88671875" customWidth="1"/>
    <col min="16" max="17" width="16" customWidth="1"/>
    <col min="18" max="18" width="11.44140625" customWidth="1"/>
  </cols>
  <sheetData>
    <row r="1" spans="1:17" ht="66.599999999999994" customHeight="1" thickBot="1" x14ac:dyDescent="0.35">
      <c r="A1" s="680"/>
      <c r="B1" s="1383" t="s">
        <v>662</v>
      </c>
      <c r="C1" s="1384"/>
      <c r="D1" s="1384"/>
      <c r="E1" s="1384"/>
      <c r="F1" s="1384"/>
      <c r="G1" s="1384"/>
      <c r="H1" s="1384"/>
      <c r="I1" s="1384"/>
      <c r="J1" s="1384"/>
      <c r="K1" s="1384"/>
      <c r="L1" s="1384"/>
      <c r="M1" s="1384"/>
      <c r="N1" s="1385"/>
      <c r="O1" s="1380" t="s">
        <v>137</v>
      </c>
      <c r="P1" s="1381"/>
      <c r="Q1" s="1382"/>
    </row>
    <row r="2" spans="1:17" x14ac:dyDescent="0.3">
      <c r="A2" s="1"/>
      <c r="B2" s="1"/>
      <c r="C2" s="115"/>
      <c r="D2" s="1"/>
      <c r="E2" s="1"/>
      <c r="F2" s="1"/>
      <c r="G2" s="1"/>
      <c r="H2" s="1"/>
    </row>
    <row r="3" spans="1:17" x14ac:dyDescent="0.3">
      <c r="A3" s="1"/>
      <c r="B3" s="1"/>
      <c r="C3" s="115"/>
      <c r="D3" s="753"/>
      <c r="E3" s="1"/>
      <c r="F3" s="2" t="s">
        <v>65</v>
      </c>
      <c r="G3" s="854">
        <v>45731</v>
      </c>
      <c r="H3" s="854"/>
      <c r="I3" s="685" t="s">
        <v>664</v>
      </c>
      <c r="J3" t="s">
        <v>665</v>
      </c>
    </row>
    <row r="4" spans="1:17" ht="15" thickBot="1" x14ac:dyDescent="0.35">
      <c r="A4" s="1"/>
      <c r="B4" s="1"/>
      <c r="C4" s="115"/>
      <c r="D4" s="753"/>
      <c r="E4" s="1"/>
      <c r="F4" s="1"/>
      <c r="G4" s="1"/>
      <c r="H4" s="1"/>
    </row>
    <row r="5" spans="1:17" ht="15" thickBot="1" x14ac:dyDescent="0.35">
      <c r="A5" s="1"/>
      <c r="B5" s="1"/>
      <c r="C5" s="115"/>
      <c r="D5" s="753"/>
      <c r="E5" s="1"/>
      <c r="F5" s="1150" t="s">
        <v>24</v>
      </c>
      <c r="G5" s="1150"/>
      <c r="H5" s="1151"/>
      <c r="I5" s="1152" t="s">
        <v>25</v>
      </c>
      <c r="J5" s="1150"/>
      <c r="K5" s="1151"/>
      <c r="L5" s="1152" t="s">
        <v>26</v>
      </c>
      <c r="M5" s="1150"/>
      <c r="N5" s="1151"/>
      <c r="O5" s="1152" t="s">
        <v>27</v>
      </c>
      <c r="P5" s="1150"/>
      <c r="Q5" s="1153"/>
    </row>
    <row r="6" spans="1:17" s="6" customFormat="1" ht="15" thickBot="1" x14ac:dyDescent="0.35">
      <c r="A6" s="528" t="s">
        <v>0</v>
      </c>
      <c r="B6" s="529" t="s">
        <v>16</v>
      </c>
      <c r="C6" s="529" t="s">
        <v>15</v>
      </c>
      <c r="D6" s="754" t="s">
        <v>324</v>
      </c>
      <c r="E6" s="531" t="s">
        <v>503</v>
      </c>
      <c r="F6" s="532" t="s">
        <v>3</v>
      </c>
      <c r="G6" s="533" t="s">
        <v>4</v>
      </c>
      <c r="H6" s="748" t="s">
        <v>5</v>
      </c>
      <c r="I6" s="533" t="s">
        <v>6</v>
      </c>
      <c r="J6" s="533" t="s">
        <v>7</v>
      </c>
      <c r="K6" s="533" t="s">
        <v>8</v>
      </c>
      <c r="L6" s="533" t="s">
        <v>9</v>
      </c>
      <c r="M6" s="533" t="s">
        <v>10</v>
      </c>
      <c r="N6" s="533" t="s">
        <v>11</v>
      </c>
      <c r="O6" s="533" t="s">
        <v>12</v>
      </c>
      <c r="P6" s="533" t="s">
        <v>13</v>
      </c>
      <c r="Q6" s="534" t="s">
        <v>14</v>
      </c>
    </row>
    <row r="7" spans="1:17" s="6" customFormat="1" ht="45" customHeight="1" thickBot="1" x14ac:dyDescent="0.35">
      <c r="A7" s="744" t="s">
        <v>22</v>
      </c>
      <c r="B7" s="681" t="s">
        <v>331</v>
      </c>
      <c r="C7" s="682" t="s">
        <v>224</v>
      </c>
      <c r="D7" s="755" t="s">
        <v>334</v>
      </c>
      <c r="E7" s="569" t="s">
        <v>508</v>
      </c>
      <c r="F7" s="1156">
        <v>0.83</v>
      </c>
      <c r="G7" s="1157"/>
      <c r="H7" s="1157"/>
      <c r="I7" s="1157"/>
      <c r="J7" s="1157"/>
      <c r="K7" s="1157"/>
      <c r="L7" s="1157"/>
      <c r="M7" s="1157"/>
      <c r="N7" s="1157"/>
      <c r="O7" s="1157"/>
      <c r="P7" s="1157"/>
      <c r="Q7" s="1158"/>
    </row>
    <row r="8" spans="1:17" s="6" customFormat="1" ht="45" customHeight="1" thickBot="1" x14ac:dyDescent="0.35">
      <c r="A8" s="744" t="s">
        <v>22</v>
      </c>
      <c r="B8" s="1147" t="s">
        <v>332</v>
      </c>
      <c r="C8" s="570" t="s">
        <v>663</v>
      </c>
      <c r="D8" s="756" t="s">
        <v>336</v>
      </c>
      <c r="E8" s="244" t="s">
        <v>512</v>
      </c>
      <c r="F8" s="1338">
        <v>0.54620000000000002</v>
      </c>
      <c r="G8" s="1339"/>
      <c r="H8" s="1339"/>
      <c r="I8" s="1372">
        <v>0.40579999999999999</v>
      </c>
      <c r="J8" s="1339"/>
      <c r="K8" s="1169"/>
      <c r="L8" s="1373">
        <v>0.6</v>
      </c>
      <c r="M8" s="1374"/>
      <c r="N8" s="1375"/>
      <c r="O8" s="1044">
        <v>0.7</v>
      </c>
      <c r="P8" s="1053"/>
      <c r="Q8" s="1379"/>
    </row>
    <row r="9" spans="1:17" s="6" customFormat="1" ht="45" customHeight="1" thickBot="1" x14ac:dyDescent="0.35">
      <c r="A9" s="744" t="s">
        <v>22</v>
      </c>
      <c r="B9" s="1148"/>
      <c r="C9" s="573" t="s">
        <v>652</v>
      </c>
      <c r="D9" s="756" t="s">
        <v>336</v>
      </c>
      <c r="E9" s="244" t="s">
        <v>512</v>
      </c>
      <c r="F9" s="1159">
        <v>1</v>
      </c>
      <c r="G9" s="1159"/>
      <c r="H9" s="1376"/>
      <c r="I9" s="1159">
        <v>1</v>
      </c>
      <c r="J9" s="1159"/>
      <c r="K9" s="1159"/>
      <c r="L9" s="1373">
        <v>0.97</v>
      </c>
      <c r="M9" s="1374"/>
      <c r="N9" s="1375"/>
      <c r="O9" s="1159">
        <v>0.81</v>
      </c>
      <c r="P9" s="1159"/>
      <c r="Q9" s="1160"/>
    </row>
    <row r="10" spans="1:17" s="6" customFormat="1" ht="45" customHeight="1" thickBot="1" x14ac:dyDescent="0.35">
      <c r="A10" s="744" t="s">
        <v>22</v>
      </c>
      <c r="B10" s="1377" t="s">
        <v>333</v>
      </c>
      <c r="C10" s="571" t="s">
        <v>653</v>
      </c>
      <c r="D10" s="757" t="s">
        <v>338</v>
      </c>
      <c r="E10" s="244" t="s">
        <v>512</v>
      </c>
      <c r="F10" s="1371">
        <v>1</v>
      </c>
      <c r="G10" s="1053"/>
      <c r="H10" s="1053"/>
      <c r="I10" s="1372">
        <v>0.95</v>
      </c>
      <c r="J10" s="1339"/>
      <c r="K10" s="1169"/>
      <c r="L10" s="1373">
        <v>1</v>
      </c>
      <c r="M10" s="1374"/>
      <c r="N10" s="1375"/>
      <c r="O10" s="1044">
        <v>0.99</v>
      </c>
      <c r="P10" s="1053"/>
      <c r="Q10" s="1379"/>
    </row>
    <row r="11" spans="1:17" s="6" customFormat="1" ht="45" customHeight="1" x14ac:dyDescent="0.3">
      <c r="A11" s="744" t="s">
        <v>22</v>
      </c>
      <c r="B11" s="1378"/>
      <c r="C11" s="573" t="s">
        <v>654</v>
      </c>
      <c r="D11" s="756" t="s">
        <v>338</v>
      </c>
      <c r="E11" s="244" t="s">
        <v>512</v>
      </c>
      <c r="F11" s="1159">
        <v>1</v>
      </c>
      <c r="G11" s="1159"/>
      <c r="H11" s="1159"/>
      <c r="I11" s="1159">
        <v>0.95</v>
      </c>
      <c r="J11" s="1159"/>
      <c r="K11" s="1159"/>
      <c r="L11" s="1395">
        <v>1</v>
      </c>
      <c r="M11" s="1396"/>
      <c r="N11" s="1397"/>
      <c r="O11" s="1161">
        <v>1</v>
      </c>
      <c r="P11" s="1161"/>
      <c r="Q11" s="1398"/>
    </row>
    <row r="12" spans="1:17" s="6" customFormat="1" ht="43.95" customHeight="1" x14ac:dyDescent="0.3">
      <c r="A12" s="745" t="s">
        <v>57</v>
      </c>
      <c r="B12" s="562" t="s">
        <v>339</v>
      </c>
      <c r="C12" s="572" t="s">
        <v>340</v>
      </c>
      <c r="D12" s="758" t="s">
        <v>341</v>
      </c>
      <c r="E12" s="36" t="s">
        <v>519</v>
      </c>
      <c r="F12" s="473">
        <v>0.93</v>
      </c>
      <c r="G12" s="474">
        <v>0.93</v>
      </c>
      <c r="H12" s="475">
        <v>0.94</v>
      </c>
      <c r="I12" s="475">
        <v>0.96</v>
      </c>
      <c r="J12" s="400">
        <v>0.96</v>
      </c>
      <c r="K12" s="400">
        <v>0.98</v>
      </c>
      <c r="L12" s="401">
        <v>0.95</v>
      </c>
      <c r="M12" s="401">
        <v>0.92</v>
      </c>
      <c r="N12" s="401">
        <v>0.93</v>
      </c>
      <c r="O12" s="400">
        <v>0.95</v>
      </c>
      <c r="P12" s="400">
        <v>0.93</v>
      </c>
      <c r="Q12" s="515">
        <v>0.93</v>
      </c>
    </row>
    <row r="13" spans="1:17" s="6" customFormat="1" ht="43.95" customHeight="1" x14ac:dyDescent="0.3">
      <c r="A13" s="745" t="s">
        <v>57</v>
      </c>
      <c r="B13" s="560" t="s">
        <v>342</v>
      </c>
      <c r="C13" s="570" t="s">
        <v>343</v>
      </c>
      <c r="D13" s="759" t="s">
        <v>344</v>
      </c>
      <c r="E13" s="34" t="s">
        <v>519</v>
      </c>
      <c r="F13" s="476">
        <v>1</v>
      </c>
      <c r="G13" s="477">
        <v>1</v>
      </c>
      <c r="H13" s="478">
        <v>1</v>
      </c>
      <c r="I13" s="478">
        <v>1</v>
      </c>
      <c r="J13" s="406">
        <v>1</v>
      </c>
      <c r="K13" s="406">
        <v>1</v>
      </c>
      <c r="L13" s="407">
        <v>1</v>
      </c>
      <c r="M13" s="407">
        <v>1</v>
      </c>
      <c r="N13" s="407">
        <v>1</v>
      </c>
      <c r="O13" s="479">
        <v>1</v>
      </c>
      <c r="P13" s="479">
        <v>1</v>
      </c>
      <c r="Q13" s="516">
        <v>1</v>
      </c>
    </row>
    <row r="14" spans="1:17" s="6" customFormat="1" ht="43.95" customHeight="1" x14ac:dyDescent="0.3">
      <c r="A14" s="745" t="s">
        <v>57</v>
      </c>
      <c r="B14" s="560" t="s">
        <v>345</v>
      </c>
      <c r="C14" s="573" t="s">
        <v>589</v>
      </c>
      <c r="D14" s="759" t="s">
        <v>347</v>
      </c>
      <c r="E14" s="34" t="s">
        <v>519</v>
      </c>
      <c r="F14" s="476">
        <v>0.85</v>
      </c>
      <c r="G14" s="477">
        <v>0.96</v>
      </c>
      <c r="H14" s="478">
        <v>0.9</v>
      </c>
      <c r="I14" s="478">
        <v>0.86</v>
      </c>
      <c r="J14" s="406">
        <v>0.99</v>
      </c>
      <c r="K14" s="406">
        <v>0.86</v>
      </c>
      <c r="L14" s="407">
        <v>0.98</v>
      </c>
      <c r="M14" s="407">
        <v>0.96</v>
      </c>
      <c r="N14" s="407">
        <v>0.96</v>
      </c>
      <c r="O14" s="479">
        <v>0.91</v>
      </c>
      <c r="P14" s="479">
        <v>0.94</v>
      </c>
      <c r="Q14" s="516">
        <v>0.95</v>
      </c>
    </row>
    <row r="15" spans="1:17" s="6" customFormat="1" ht="43.95" customHeight="1" x14ac:dyDescent="0.3">
      <c r="A15" s="745" t="s">
        <v>57</v>
      </c>
      <c r="B15" s="561" t="s">
        <v>348</v>
      </c>
      <c r="C15" s="571" t="s">
        <v>349</v>
      </c>
      <c r="D15" s="760" t="s">
        <v>350</v>
      </c>
      <c r="E15" s="37" t="s">
        <v>519</v>
      </c>
      <c r="F15" s="686">
        <v>0</v>
      </c>
      <c r="G15" s="686">
        <v>0</v>
      </c>
      <c r="H15" s="686">
        <v>0</v>
      </c>
      <c r="I15" s="686">
        <v>0</v>
      </c>
      <c r="J15" s="551">
        <v>0.1</v>
      </c>
      <c r="K15" s="551">
        <v>0.14000000000000001</v>
      </c>
      <c r="L15" s="692">
        <v>0.15</v>
      </c>
      <c r="M15" s="692">
        <v>0.14000000000000001</v>
      </c>
      <c r="N15" s="692">
        <v>0.12</v>
      </c>
      <c r="O15" s="551">
        <v>0.12</v>
      </c>
      <c r="P15" s="551">
        <v>0.12</v>
      </c>
      <c r="Q15" s="552">
        <v>0.11</v>
      </c>
    </row>
    <row r="16" spans="1:17" s="6" customFormat="1" ht="46.5" customHeight="1" x14ac:dyDescent="0.3">
      <c r="A16" s="745" t="s">
        <v>153</v>
      </c>
      <c r="B16" s="562" t="s">
        <v>480</v>
      </c>
      <c r="C16" s="572" t="s">
        <v>481</v>
      </c>
      <c r="D16" s="758" t="s">
        <v>551</v>
      </c>
      <c r="E16" s="36" t="s">
        <v>512</v>
      </c>
      <c r="F16" s="1163">
        <v>1</v>
      </c>
      <c r="G16" s="1027"/>
      <c r="H16" s="1027"/>
      <c r="I16" s="1399">
        <v>1</v>
      </c>
      <c r="J16" s="1400"/>
      <c r="K16" s="1400"/>
      <c r="L16" s="1399">
        <v>1</v>
      </c>
      <c r="M16" s="1400"/>
      <c r="N16" s="1400"/>
      <c r="O16" s="1171">
        <v>1</v>
      </c>
      <c r="P16" s="969"/>
      <c r="Q16" s="1228"/>
    </row>
    <row r="17" spans="1:18" s="6" customFormat="1" ht="46.5" customHeight="1" x14ac:dyDescent="0.3">
      <c r="A17" s="745" t="s">
        <v>153</v>
      </c>
      <c r="B17" s="560" t="s">
        <v>482</v>
      </c>
      <c r="C17" s="570" t="s">
        <v>483</v>
      </c>
      <c r="D17" s="759" t="s">
        <v>549</v>
      </c>
      <c r="E17" s="34" t="s">
        <v>512</v>
      </c>
      <c r="F17" s="1401">
        <v>1</v>
      </c>
      <c r="G17" s="1402"/>
      <c r="H17" s="1402"/>
      <c r="I17" s="1211" t="s">
        <v>676</v>
      </c>
      <c r="J17" s="1028"/>
      <c r="K17" s="1028"/>
      <c r="L17" s="1211">
        <v>1</v>
      </c>
      <c r="M17" s="1028"/>
      <c r="N17" s="1028"/>
      <c r="O17" s="1170">
        <v>0.23</v>
      </c>
      <c r="P17" s="1188"/>
      <c r="Q17" s="1189"/>
    </row>
    <row r="18" spans="1:18" s="6" customFormat="1" ht="46.5" customHeight="1" x14ac:dyDescent="0.3">
      <c r="A18" s="745" t="s">
        <v>153</v>
      </c>
      <c r="B18" s="560" t="s">
        <v>484</v>
      </c>
      <c r="C18" s="570" t="s">
        <v>485</v>
      </c>
      <c r="D18" s="759" t="s">
        <v>550</v>
      </c>
      <c r="E18" s="34" t="s">
        <v>513</v>
      </c>
      <c r="F18" s="1054">
        <v>1</v>
      </c>
      <c r="G18" s="1049"/>
      <c r="H18" s="1049"/>
      <c r="I18" s="1049"/>
      <c r="J18" s="1049"/>
      <c r="K18" s="1049"/>
      <c r="L18" s="1391" t="s">
        <v>676</v>
      </c>
      <c r="M18" s="1391"/>
      <c r="N18" s="1391"/>
      <c r="O18" s="1391"/>
      <c r="P18" s="1391"/>
      <c r="Q18" s="1392"/>
    </row>
    <row r="19" spans="1:18" s="6" customFormat="1" ht="46.5" customHeight="1" x14ac:dyDescent="0.3">
      <c r="A19" s="745" t="s">
        <v>153</v>
      </c>
      <c r="B19" s="375" t="s">
        <v>613</v>
      </c>
      <c r="C19" s="574" t="s">
        <v>614</v>
      </c>
      <c r="D19" s="761" t="s">
        <v>615</v>
      </c>
      <c r="E19" s="38" t="s">
        <v>508</v>
      </c>
      <c r="F19" s="1403">
        <v>0.86799999999999999</v>
      </c>
      <c r="G19" s="1404"/>
      <c r="H19" s="1404"/>
      <c r="I19" s="1404"/>
      <c r="J19" s="1404"/>
      <c r="K19" s="1404"/>
      <c r="L19" s="1404"/>
      <c r="M19" s="1404"/>
      <c r="N19" s="1404"/>
      <c r="O19" s="1404"/>
      <c r="P19" s="1404"/>
      <c r="Q19" s="1405"/>
    </row>
    <row r="20" spans="1:18" s="6" customFormat="1" ht="48.75" customHeight="1" x14ac:dyDescent="0.3">
      <c r="A20" s="746" t="s">
        <v>75</v>
      </c>
      <c r="B20" s="1386" t="s">
        <v>355</v>
      </c>
      <c r="C20" s="572" t="s">
        <v>616</v>
      </c>
      <c r="D20" s="762" t="s">
        <v>596</v>
      </c>
      <c r="E20" s="36" t="s">
        <v>655</v>
      </c>
      <c r="F20" s="723">
        <v>76957</v>
      </c>
      <c r="G20" s="724">
        <v>134706</v>
      </c>
      <c r="H20" s="724">
        <v>206857</v>
      </c>
      <c r="I20" s="724">
        <v>288782</v>
      </c>
      <c r="J20" s="505">
        <v>377388</v>
      </c>
      <c r="K20" s="505">
        <v>480988</v>
      </c>
      <c r="L20" s="505">
        <v>605110</v>
      </c>
      <c r="M20" s="505">
        <v>742453</v>
      </c>
      <c r="N20" s="725">
        <v>858067</v>
      </c>
      <c r="O20" s="726">
        <v>987059</v>
      </c>
      <c r="P20" s="726">
        <v>1103227</v>
      </c>
      <c r="Q20" s="729">
        <v>1215257</v>
      </c>
    </row>
    <row r="21" spans="1:18" s="6" customFormat="1" ht="48.75" customHeight="1" x14ac:dyDescent="0.3">
      <c r="A21" s="746" t="s">
        <v>75</v>
      </c>
      <c r="B21" s="1387"/>
      <c r="C21" s="570" t="s">
        <v>356</v>
      </c>
      <c r="D21" s="763" t="s">
        <v>597</v>
      </c>
      <c r="E21" s="34" t="s">
        <v>655</v>
      </c>
      <c r="F21" s="614">
        <v>925</v>
      </c>
      <c r="G21" s="613">
        <v>1664</v>
      </c>
      <c r="H21" s="613">
        <v>2505</v>
      </c>
      <c r="I21" s="613">
        <v>3363</v>
      </c>
      <c r="J21" s="486">
        <v>4311</v>
      </c>
      <c r="K21" s="486">
        <v>5326</v>
      </c>
      <c r="L21" s="486">
        <v>6596</v>
      </c>
      <c r="M21" s="486">
        <v>7981</v>
      </c>
      <c r="N21" s="616">
        <v>8642</v>
      </c>
      <c r="O21" s="721">
        <v>9410</v>
      </c>
      <c r="P21" s="721">
        <v>10199</v>
      </c>
      <c r="Q21" s="732">
        <v>10944</v>
      </c>
    </row>
    <row r="22" spans="1:18" s="6" customFormat="1" ht="48.75" customHeight="1" x14ac:dyDescent="0.3">
      <c r="A22" s="746" t="s">
        <v>75</v>
      </c>
      <c r="B22" s="1388"/>
      <c r="C22" s="570" t="s">
        <v>358</v>
      </c>
      <c r="D22" s="763" t="s">
        <v>359</v>
      </c>
      <c r="E22" s="34" t="s">
        <v>519</v>
      </c>
      <c r="F22" s="638">
        <v>0.56999999999999995</v>
      </c>
      <c r="G22" s="639">
        <v>0.51</v>
      </c>
      <c r="H22" s="639">
        <v>0.63</v>
      </c>
      <c r="I22" s="639">
        <v>0.57999999999999996</v>
      </c>
      <c r="J22" s="639">
        <v>0.61</v>
      </c>
      <c r="K22" s="639">
        <v>0.64</v>
      </c>
      <c r="L22" s="639">
        <v>0.59</v>
      </c>
      <c r="M22" s="639">
        <v>0.64</v>
      </c>
      <c r="N22" s="491" t="s">
        <v>676</v>
      </c>
      <c r="O22" s="557" t="s">
        <v>676</v>
      </c>
      <c r="P22" s="557" t="s">
        <v>676</v>
      </c>
      <c r="Q22" s="558" t="s">
        <v>676</v>
      </c>
    </row>
    <row r="23" spans="1:18" s="6" customFormat="1" ht="33" customHeight="1" x14ac:dyDescent="0.3">
      <c r="A23" s="746" t="s">
        <v>75</v>
      </c>
      <c r="B23" s="560" t="s">
        <v>360</v>
      </c>
      <c r="C23" s="570" t="s">
        <v>361</v>
      </c>
      <c r="D23" s="763" t="s">
        <v>362</v>
      </c>
      <c r="E23" s="34" t="s">
        <v>513</v>
      </c>
      <c r="F23" s="1389"/>
      <c r="G23" s="1390"/>
      <c r="H23" s="1390"/>
      <c r="I23" s="1390"/>
      <c r="J23" s="1390"/>
      <c r="K23" s="1390"/>
      <c r="L23" s="1391"/>
      <c r="M23" s="1391"/>
      <c r="N23" s="1391"/>
      <c r="O23" s="1391"/>
      <c r="P23" s="1391"/>
      <c r="Q23" s="1392"/>
    </row>
    <row r="24" spans="1:18" s="6" customFormat="1" ht="23.25" customHeight="1" x14ac:dyDescent="0.3">
      <c r="A24" s="746" t="s">
        <v>75</v>
      </c>
      <c r="B24" s="1393" t="s">
        <v>363</v>
      </c>
      <c r="C24" s="570" t="s">
        <v>617</v>
      </c>
      <c r="D24" s="763" t="s">
        <v>666</v>
      </c>
      <c r="E24" s="34" t="s">
        <v>519</v>
      </c>
      <c r="F24" s="615">
        <v>127000</v>
      </c>
      <c r="G24" s="616">
        <v>210000</v>
      </c>
      <c r="H24" s="616">
        <v>400000</v>
      </c>
      <c r="I24" s="486">
        <v>548000</v>
      </c>
      <c r="J24" s="486">
        <v>696000</v>
      </c>
      <c r="K24" s="488">
        <v>860000</v>
      </c>
      <c r="L24" s="486">
        <v>975000</v>
      </c>
      <c r="M24" s="722">
        <v>1171000</v>
      </c>
      <c r="N24" s="721">
        <v>1336000</v>
      </c>
      <c r="O24" s="721">
        <v>1441000</v>
      </c>
      <c r="P24" s="721">
        <v>1600000</v>
      </c>
      <c r="Q24" s="732">
        <v>1733000</v>
      </c>
    </row>
    <row r="25" spans="1:18" s="6" customFormat="1" ht="58.5" customHeight="1" x14ac:dyDescent="0.3">
      <c r="A25" s="746" t="s">
        <v>75</v>
      </c>
      <c r="B25" s="1394"/>
      <c r="C25" s="571" t="s">
        <v>366</v>
      </c>
      <c r="D25" s="764" t="s">
        <v>367</v>
      </c>
      <c r="E25" s="72" t="s">
        <v>519</v>
      </c>
      <c r="F25" s="749">
        <v>1.65027222994659</v>
      </c>
      <c r="G25" s="750">
        <v>1.5589506035365908</v>
      </c>
      <c r="H25" s="750">
        <v>1.9337029928888072</v>
      </c>
      <c r="I25" s="751">
        <v>1.8976251982464281</v>
      </c>
      <c r="J25" s="751">
        <v>1.8442557791980667</v>
      </c>
      <c r="K25" s="752">
        <v>1.78798639467097</v>
      </c>
      <c r="L25" s="496">
        <v>1.6112772884269</v>
      </c>
      <c r="M25" s="727">
        <v>1.58</v>
      </c>
      <c r="N25" s="728">
        <v>1.56</v>
      </c>
      <c r="O25" s="728">
        <v>1.46</v>
      </c>
      <c r="P25" s="728">
        <v>1.45</v>
      </c>
      <c r="Q25" s="730">
        <v>1.43</v>
      </c>
    </row>
    <row r="26" spans="1:18" s="391" customFormat="1" ht="54" customHeight="1" x14ac:dyDescent="0.3">
      <c r="A26" s="745" t="s">
        <v>176</v>
      </c>
      <c r="B26" s="563" t="s">
        <v>369</v>
      </c>
      <c r="C26" s="575" t="s">
        <v>370</v>
      </c>
      <c r="D26" s="762" t="s">
        <v>371</v>
      </c>
      <c r="E26" s="386" t="s">
        <v>519</v>
      </c>
      <c r="F26" s="549">
        <v>1</v>
      </c>
      <c r="G26" s="480">
        <v>1</v>
      </c>
      <c r="H26" s="480" t="s">
        <v>676</v>
      </c>
      <c r="I26" s="480" t="s">
        <v>676</v>
      </c>
      <c r="J26" s="480" t="s">
        <v>676</v>
      </c>
      <c r="K26" s="691" t="s">
        <v>676</v>
      </c>
      <c r="L26" s="480">
        <v>1</v>
      </c>
      <c r="M26" s="480" t="s">
        <v>676</v>
      </c>
      <c r="N26" s="480" t="s">
        <v>676</v>
      </c>
      <c r="O26" s="691">
        <v>1</v>
      </c>
      <c r="P26" s="691" t="s">
        <v>676</v>
      </c>
      <c r="Q26" s="720">
        <v>0.56999999999999995</v>
      </c>
      <c r="R26" s="733">
        <v>8.3333333333333329E-2</v>
      </c>
    </row>
    <row r="27" spans="1:18" s="6" customFormat="1" ht="54" customHeight="1" x14ac:dyDescent="0.3">
      <c r="A27" s="745" t="s">
        <v>176</v>
      </c>
      <c r="B27" s="560" t="s">
        <v>372</v>
      </c>
      <c r="C27" s="570" t="s">
        <v>373</v>
      </c>
      <c r="D27" s="759" t="s">
        <v>374</v>
      </c>
      <c r="E27" s="34" t="s">
        <v>512</v>
      </c>
      <c r="F27" s="1054">
        <v>1</v>
      </c>
      <c r="G27" s="1049"/>
      <c r="H27" s="1049"/>
      <c r="I27" s="1049">
        <v>1</v>
      </c>
      <c r="J27" s="1049"/>
      <c r="K27" s="1049"/>
      <c r="L27" s="1049">
        <v>1</v>
      </c>
      <c r="M27" s="1049"/>
      <c r="N27" s="1049"/>
      <c r="O27" s="1211">
        <v>1</v>
      </c>
      <c r="P27" s="1211"/>
      <c r="Q27" s="1368"/>
    </row>
    <row r="28" spans="1:18" s="6" customFormat="1" ht="54" customHeight="1" x14ac:dyDescent="0.3">
      <c r="A28" s="745" t="s">
        <v>176</v>
      </c>
      <c r="B28" s="560" t="s">
        <v>375</v>
      </c>
      <c r="C28" s="570" t="s">
        <v>376</v>
      </c>
      <c r="D28" s="759" t="s">
        <v>377</v>
      </c>
      <c r="E28" s="34" t="s">
        <v>512</v>
      </c>
      <c r="F28" s="1169">
        <v>0.6</v>
      </c>
      <c r="G28" s="1170"/>
      <c r="H28" s="1170"/>
      <c r="I28" s="1049">
        <v>0.8</v>
      </c>
      <c r="J28" s="1049"/>
      <c r="K28" s="1049"/>
      <c r="L28" s="1049">
        <v>0.72499999999999998</v>
      </c>
      <c r="M28" s="1049"/>
      <c r="N28" s="1049"/>
      <c r="O28" s="1369">
        <v>0.80959999999999999</v>
      </c>
      <c r="P28" s="1369"/>
      <c r="Q28" s="1370"/>
    </row>
    <row r="29" spans="1:18" s="6" customFormat="1" ht="54" customHeight="1" x14ac:dyDescent="0.3">
      <c r="A29" s="745" t="s">
        <v>176</v>
      </c>
      <c r="B29" s="561" t="s">
        <v>378</v>
      </c>
      <c r="C29" s="571" t="s">
        <v>379</v>
      </c>
      <c r="D29" s="760" t="s">
        <v>380</v>
      </c>
      <c r="E29" s="37" t="s">
        <v>512</v>
      </c>
      <c r="F29" s="1249">
        <v>643</v>
      </c>
      <c r="G29" s="1250"/>
      <c r="H29" s="1250"/>
      <c r="I29" s="1249">
        <v>650</v>
      </c>
      <c r="J29" s="1250"/>
      <c r="K29" s="1250"/>
      <c r="L29" s="1249">
        <v>830</v>
      </c>
      <c r="M29" s="1250"/>
      <c r="N29" s="1250"/>
      <c r="O29" s="1354">
        <v>955</v>
      </c>
      <c r="P29" s="1354"/>
      <c r="Q29" s="1355"/>
    </row>
    <row r="30" spans="1:18" s="6" customFormat="1" ht="50.25" customHeight="1" x14ac:dyDescent="0.3">
      <c r="A30" s="745" t="s">
        <v>42</v>
      </c>
      <c r="B30" s="562" t="s">
        <v>505</v>
      </c>
      <c r="C30" s="572" t="s">
        <v>506</v>
      </c>
      <c r="D30" s="765">
        <v>1</v>
      </c>
      <c r="E30" s="384" t="s">
        <v>513</v>
      </c>
      <c r="F30" s="1046">
        <v>1</v>
      </c>
      <c r="G30" s="1171"/>
      <c r="H30" s="1171"/>
      <c r="I30" s="1171"/>
      <c r="J30" s="1171"/>
      <c r="K30" s="1171"/>
      <c r="L30" s="1171">
        <v>1</v>
      </c>
      <c r="M30" s="1171"/>
      <c r="N30" s="1171"/>
      <c r="O30" s="1171"/>
      <c r="P30" s="1171"/>
      <c r="Q30" s="1172"/>
    </row>
    <row r="31" spans="1:18" s="6" customFormat="1" ht="50.25" customHeight="1" x14ac:dyDescent="0.3">
      <c r="A31" s="745" t="s">
        <v>42</v>
      </c>
      <c r="B31" s="560" t="s">
        <v>381</v>
      </c>
      <c r="C31" s="570" t="s">
        <v>382</v>
      </c>
      <c r="D31" s="766" t="s">
        <v>548</v>
      </c>
      <c r="E31" s="385" t="s">
        <v>508</v>
      </c>
      <c r="F31" s="1054">
        <v>1</v>
      </c>
      <c r="G31" s="1049"/>
      <c r="H31" s="1049"/>
      <c r="I31" s="1049"/>
      <c r="J31" s="1049"/>
      <c r="K31" s="1049"/>
      <c r="L31" s="1049"/>
      <c r="M31" s="1049"/>
      <c r="N31" s="1049"/>
      <c r="O31" s="1049"/>
      <c r="P31" s="1049"/>
      <c r="Q31" s="1168"/>
    </row>
    <row r="32" spans="1:18" s="6" customFormat="1" ht="50.25" customHeight="1" x14ac:dyDescent="0.3">
      <c r="A32" s="745" t="s">
        <v>42</v>
      </c>
      <c r="B32" s="560" t="s">
        <v>383</v>
      </c>
      <c r="C32" s="570" t="s">
        <v>384</v>
      </c>
      <c r="D32" s="766" t="s">
        <v>548</v>
      </c>
      <c r="E32" s="385" t="s">
        <v>512</v>
      </c>
      <c r="F32" s="1054">
        <v>1</v>
      </c>
      <c r="G32" s="1049"/>
      <c r="H32" s="1049"/>
      <c r="I32" s="1049">
        <v>1</v>
      </c>
      <c r="J32" s="1049"/>
      <c r="K32" s="1049"/>
      <c r="L32" s="1049">
        <v>1</v>
      </c>
      <c r="M32" s="1049"/>
      <c r="N32" s="1049"/>
      <c r="O32" s="1049">
        <v>1</v>
      </c>
      <c r="P32" s="1049"/>
      <c r="Q32" s="1168"/>
    </row>
    <row r="33" spans="1:17" s="6" customFormat="1" ht="50.25" customHeight="1" x14ac:dyDescent="0.3">
      <c r="A33" s="745" t="s">
        <v>42</v>
      </c>
      <c r="B33" s="560" t="s">
        <v>546</v>
      </c>
      <c r="C33" s="570" t="s">
        <v>618</v>
      </c>
      <c r="D33" s="759" t="s">
        <v>392</v>
      </c>
      <c r="E33" s="385" t="s">
        <v>508</v>
      </c>
      <c r="F33" s="1362">
        <v>3.6700000000000003E-2</v>
      </c>
      <c r="G33" s="1363"/>
      <c r="H33" s="1363"/>
      <c r="I33" s="1363"/>
      <c r="J33" s="1363"/>
      <c r="K33" s="1363"/>
      <c r="L33" s="1363"/>
      <c r="M33" s="1363"/>
      <c r="N33" s="1363"/>
      <c r="O33" s="1363"/>
      <c r="P33" s="1363"/>
      <c r="Q33" s="1364"/>
    </row>
    <row r="34" spans="1:17" s="6" customFormat="1" ht="50.25" customHeight="1" x14ac:dyDescent="0.3">
      <c r="A34" s="745" t="s">
        <v>42</v>
      </c>
      <c r="B34" s="560" t="s">
        <v>387</v>
      </c>
      <c r="C34" s="570" t="s">
        <v>388</v>
      </c>
      <c r="D34" s="766">
        <v>1</v>
      </c>
      <c r="E34" s="385" t="s">
        <v>508</v>
      </c>
      <c r="F34" s="1346">
        <v>1</v>
      </c>
      <c r="G34" s="1347"/>
      <c r="H34" s="1347"/>
      <c r="I34" s="1347"/>
      <c r="J34" s="1347"/>
      <c r="K34" s="1347"/>
      <c r="L34" s="1347"/>
      <c r="M34" s="1347"/>
      <c r="N34" s="1347"/>
      <c r="O34" s="1347"/>
      <c r="P34" s="1347"/>
      <c r="Q34" s="1350"/>
    </row>
    <row r="35" spans="1:17" s="6" customFormat="1" ht="50.25" customHeight="1" x14ac:dyDescent="0.3">
      <c r="A35" s="745" t="s">
        <v>42</v>
      </c>
      <c r="B35" s="560" t="s">
        <v>389</v>
      </c>
      <c r="C35" s="570" t="s">
        <v>619</v>
      </c>
      <c r="D35" s="759" t="s">
        <v>392</v>
      </c>
      <c r="E35" s="34" t="s">
        <v>511</v>
      </c>
      <c r="F35" s="554">
        <v>0.1</v>
      </c>
      <c r="G35" s="554">
        <v>0.11</v>
      </c>
      <c r="H35" s="554">
        <v>0.22</v>
      </c>
      <c r="I35" s="554">
        <f>215/2014</f>
        <v>0.1067527308838133</v>
      </c>
      <c r="J35" s="554">
        <f>397.5/1767</f>
        <v>0.22495755517826826</v>
      </c>
      <c r="K35" s="538">
        <f>381.53/1837</f>
        <v>0.20769188894937396</v>
      </c>
      <c r="L35" s="555">
        <f>262.1/1851</f>
        <v>0.14159913560237711</v>
      </c>
      <c r="M35" s="555">
        <f>274.1/1655</f>
        <v>0.16561933534743203</v>
      </c>
      <c r="N35" s="555">
        <v>0.13</v>
      </c>
      <c r="O35" s="555">
        <v>0.12</v>
      </c>
      <c r="P35" s="538">
        <f>365.55/2059</f>
        <v>0.17753763963088878</v>
      </c>
      <c r="Q35" s="556">
        <f>198.05/1754</f>
        <v>0.11291334093500571</v>
      </c>
    </row>
    <row r="36" spans="1:17" s="6" customFormat="1" ht="50.25" customHeight="1" x14ac:dyDescent="0.3">
      <c r="A36" s="745" t="s">
        <v>42</v>
      </c>
      <c r="B36" s="560" t="s">
        <v>391</v>
      </c>
      <c r="C36" s="570" t="s">
        <v>507</v>
      </c>
      <c r="D36" s="766" t="s">
        <v>548</v>
      </c>
      <c r="E36" s="385" t="s">
        <v>513</v>
      </c>
      <c r="F36" s="1346">
        <v>1</v>
      </c>
      <c r="G36" s="1347"/>
      <c r="H36" s="1347"/>
      <c r="I36" s="1347"/>
      <c r="J36" s="1347"/>
      <c r="K36" s="1348"/>
      <c r="L36" s="1349">
        <v>1</v>
      </c>
      <c r="M36" s="1347"/>
      <c r="N36" s="1347"/>
      <c r="O36" s="1347"/>
      <c r="P36" s="1347"/>
      <c r="Q36" s="1350"/>
    </row>
    <row r="37" spans="1:17" s="6" customFormat="1" ht="50.25" customHeight="1" x14ac:dyDescent="0.3">
      <c r="A37" s="745" t="s">
        <v>42</v>
      </c>
      <c r="B37" s="561" t="s">
        <v>509</v>
      </c>
      <c r="C37" s="571" t="s">
        <v>510</v>
      </c>
      <c r="D37" s="760" t="s">
        <v>514</v>
      </c>
      <c r="E37" s="37" t="s">
        <v>508</v>
      </c>
      <c r="F37" s="1351">
        <v>25455</v>
      </c>
      <c r="G37" s="1352"/>
      <c r="H37" s="1352"/>
      <c r="I37" s="1352"/>
      <c r="J37" s="1352"/>
      <c r="K37" s="1352"/>
      <c r="L37" s="1352"/>
      <c r="M37" s="1352"/>
      <c r="N37" s="1352"/>
      <c r="O37" s="1352"/>
      <c r="P37" s="1352"/>
      <c r="Q37" s="1353"/>
    </row>
    <row r="38" spans="1:17" s="96" customFormat="1" ht="45.75" customHeight="1" x14ac:dyDescent="0.3">
      <c r="A38" s="745" t="s">
        <v>43</v>
      </c>
      <c r="B38" s="562" t="s">
        <v>393</v>
      </c>
      <c r="C38" s="572" t="s">
        <v>394</v>
      </c>
      <c r="D38" s="758" t="s">
        <v>395</v>
      </c>
      <c r="E38" s="36" t="s">
        <v>512</v>
      </c>
      <c r="F38" s="1046" t="s">
        <v>676</v>
      </c>
      <c r="G38" s="1097"/>
      <c r="H38" s="1097"/>
      <c r="I38" s="1235">
        <v>0.75</v>
      </c>
      <c r="J38" s="1233"/>
      <c r="K38" s="1234"/>
      <c r="L38" s="1280">
        <v>0.91891891891891897</v>
      </c>
      <c r="M38" s="1280"/>
      <c r="N38" s="1280"/>
      <c r="O38" s="1171">
        <v>1</v>
      </c>
      <c r="P38" s="969"/>
      <c r="Q38" s="1228"/>
    </row>
    <row r="39" spans="1:17" s="6" customFormat="1" ht="45.75" customHeight="1" x14ac:dyDescent="0.3">
      <c r="A39" s="745" t="s">
        <v>43</v>
      </c>
      <c r="B39" s="560" t="s">
        <v>396</v>
      </c>
      <c r="C39" s="570" t="s">
        <v>397</v>
      </c>
      <c r="D39" s="759" t="s">
        <v>398</v>
      </c>
      <c r="E39" s="34" t="s">
        <v>512</v>
      </c>
      <c r="F39" s="1042">
        <v>0.51</v>
      </c>
      <c r="G39" s="1043"/>
      <c r="H39" s="1043"/>
      <c r="I39" s="1356">
        <v>0.12</v>
      </c>
      <c r="J39" s="1356"/>
      <c r="K39" s="1356"/>
      <c r="L39" s="1159">
        <v>0.08</v>
      </c>
      <c r="M39" s="1159"/>
      <c r="N39" s="1159"/>
      <c r="O39" s="1049">
        <v>0.19</v>
      </c>
      <c r="P39" s="972"/>
      <c r="Q39" s="1271"/>
    </row>
    <row r="40" spans="1:17" s="6" customFormat="1" ht="45.75" customHeight="1" x14ac:dyDescent="0.3">
      <c r="A40" s="745" t="s">
        <v>43</v>
      </c>
      <c r="B40" s="564" t="s">
        <v>543</v>
      </c>
      <c r="C40" s="570" t="s">
        <v>47</v>
      </c>
      <c r="D40" s="759" t="s">
        <v>123</v>
      </c>
      <c r="E40" s="34" t="s">
        <v>512</v>
      </c>
      <c r="F40" s="1357">
        <v>0.04</v>
      </c>
      <c r="G40" s="1299"/>
      <c r="H40" s="1300"/>
      <c r="I40" s="1358">
        <v>1.89E-2</v>
      </c>
      <c r="J40" s="1359"/>
      <c r="K40" s="1359"/>
      <c r="L40" s="1360">
        <v>1.83E-2</v>
      </c>
      <c r="M40" s="1361"/>
      <c r="N40" s="1361"/>
      <c r="O40" s="1365">
        <v>2.0999999999999999E-3</v>
      </c>
      <c r="P40" s="1366"/>
      <c r="Q40" s="1367"/>
    </row>
    <row r="41" spans="1:17" s="6" customFormat="1" ht="45.75" customHeight="1" x14ac:dyDescent="0.3">
      <c r="A41" s="745" t="s">
        <v>43</v>
      </c>
      <c r="B41" s="560" t="s">
        <v>399</v>
      </c>
      <c r="C41" s="570" t="s">
        <v>400</v>
      </c>
      <c r="D41" s="759" t="s">
        <v>522</v>
      </c>
      <c r="E41" s="34" t="s">
        <v>519</v>
      </c>
      <c r="F41" s="972">
        <v>24</v>
      </c>
      <c r="G41" s="972"/>
      <c r="H41" s="972"/>
      <c r="I41" s="972">
        <v>27</v>
      </c>
      <c r="J41" s="972"/>
      <c r="K41" s="972"/>
      <c r="L41" s="972">
        <v>16</v>
      </c>
      <c r="M41" s="972"/>
      <c r="N41" s="972"/>
      <c r="O41" s="972">
        <v>27</v>
      </c>
      <c r="P41" s="972"/>
      <c r="Q41" s="1271"/>
    </row>
    <row r="42" spans="1:17" s="6" customFormat="1" ht="63.75" customHeight="1" x14ac:dyDescent="0.3">
      <c r="A42" s="745" t="s">
        <v>43</v>
      </c>
      <c r="B42" s="561" t="s">
        <v>401</v>
      </c>
      <c r="C42" s="571" t="s">
        <v>681</v>
      </c>
      <c r="D42" s="760" t="s">
        <v>677</v>
      </c>
      <c r="E42" s="37" t="s">
        <v>519</v>
      </c>
      <c r="F42" s="1309">
        <v>35</v>
      </c>
      <c r="G42" s="1309"/>
      <c r="H42" s="1309"/>
      <c r="I42" s="1309">
        <v>30</v>
      </c>
      <c r="J42" s="1309"/>
      <c r="K42" s="1309"/>
      <c r="L42" s="1032">
        <v>34</v>
      </c>
      <c r="M42" s="1032"/>
      <c r="N42" s="1032"/>
      <c r="O42" s="1310" t="s">
        <v>678</v>
      </c>
      <c r="P42" s="1310"/>
      <c r="Q42" s="1311"/>
    </row>
    <row r="43" spans="1:17" s="6" customFormat="1" ht="62.25" customHeight="1" x14ac:dyDescent="0.3">
      <c r="A43" s="745" t="s">
        <v>43</v>
      </c>
      <c r="B43" s="561" t="s">
        <v>401</v>
      </c>
      <c r="C43" s="571" t="s">
        <v>682</v>
      </c>
      <c r="D43" s="760" t="s">
        <v>679</v>
      </c>
      <c r="E43" s="37" t="s">
        <v>519</v>
      </c>
      <c r="F43" s="1082" t="s">
        <v>680</v>
      </c>
      <c r="G43" s="1082"/>
      <c r="H43" s="1082"/>
      <c r="I43" s="1309">
        <v>32</v>
      </c>
      <c r="J43" s="1309"/>
      <c r="K43" s="1309"/>
      <c r="L43" s="1032">
        <v>32</v>
      </c>
      <c r="M43" s="1032"/>
      <c r="N43" s="1032"/>
      <c r="O43" s="1032">
        <v>30</v>
      </c>
      <c r="P43" s="1032"/>
      <c r="Q43" s="1276"/>
    </row>
    <row r="44" spans="1:17" s="6" customFormat="1" ht="45" customHeight="1" x14ac:dyDescent="0.3">
      <c r="A44" s="745" t="s">
        <v>19</v>
      </c>
      <c r="B44" s="562" t="s">
        <v>403</v>
      </c>
      <c r="C44" s="572" t="s">
        <v>517</v>
      </c>
      <c r="D44" s="767" t="s">
        <v>515</v>
      </c>
      <c r="E44" s="34" t="s">
        <v>511</v>
      </c>
      <c r="F44" s="504">
        <v>1034</v>
      </c>
      <c r="G44" s="505">
        <v>2086</v>
      </c>
      <c r="H44" s="505">
        <v>3894</v>
      </c>
      <c r="I44" s="505">
        <v>5439.23</v>
      </c>
      <c r="J44" s="505">
        <v>6797.43</v>
      </c>
      <c r="K44" s="687">
        <v>8127</v>
      </c>
      <c r="L44" s="467">
        <v>9979</v>
      </c>
      <c r="M44" s="467">
        <v>11439</v>
      </c>
      <c r="N44" s="467">
        <v>12663</v>
      </c>
      <c r="O44" s="467">
        <v>13837</v>
      </c>
      <c r="P44" s="467">
        <v>16029</v>
      </c>
      <c r="Q44" s="540">
        <v>17395</v>
      </c>
    </row>
    <row r="45" spans="1:17" s="6" customFormat="1" ht="45" customHeight="1" x14ac:dyDescent="0.3">
      <c r="A45" s="745" t="s">
        <v>19</v>
      </c>
      <c r="B45" s="560" t="s">
        <v>403</v>
      </c>
      <c r="C45" s="570" t="s">
        <v>518</v>
      </c>
      <c r="D45" s="767" t="s">
        <v>516</v>
      </c>
      <c r="E45" s="37" t="s">
        <v>511</v>
      </c>
      <c r="F45" s="612">
        <v>1.4</v>
      </c>
      <c r="G45" s="507">
        <v>3</v>
      </c>
      <c r="H45" s="507">
        <v>4</v>
      </c>
      <c r="I45" s="507">
        <v>6.36</v>
      </c>
      <c r="J45" s="507">
        <v>8.17</v>
      </c>
      <c r="K45" s="688">
        <v>10</v>
      </c>
      <c r="L45" s="465">
        <v>12</v>
      </c>
      <c r="M45" s="465">
        <v>13</v>
      </c>
      <c r="N45" s="465">
        <v>15.2</v>
      </c>
      <c r="O45" s="465">
        <v>16</v>
      </c>
      <c r="P45" s="465">
        <v>18.23</v>
      </c>
      <c r="Q45" s="541">
        <v>23</v>
      </c>
    </row>
    <row r="46" spans="1:17" s="6" customFormat="1" ht="45.75" customHeight="1" x14ac:dyDescent="0.3">
      <c r="A46" s="745" t="s">
        <v>48</v>
      </c>
      <c r="B46" s="562" t="s">
        <v>404</v>
      </c>
      <c r="C46" s="576" t="s">
        <v>600</v>
      </c>
      <c r="D46" s="762" t="s">
        <v>406</v>
      </c>
      <c r="E46" s="386" t="s">
        <v>601</v>
      </c>
      <c r="F46" s="1232">
        <v>0.47</v>
      </c>
      <c r="G46" s="1233"/>
      <c r="H46" s="1234"/>
      <c r="I46" s="1235">
        <v>0.57999999999999996</v>
      </c>
      <c r="J46" s="1233"/>
      <c r="K46" s="1234"/>
      <c r="L46" s="1235">
        <v>0.54</v>
      </c>
      <c r="M46" s="1233"/>
      <c r="N46" s="1234"/>
      <c r="O46" s="1225">
        <v>0.69</v>
      </c>
      <c r="P46" s="1226"/>
      <c r="Q46" s="1337"/>
    </row>
    <row r="47" spans="1:17" s="6" customFormat="1" ht="45.75" customHeight="1" x14ac:dyDescent="0.3">
      <c r="A47" s="745" t="s">
        <v>48</v>
      </c>
      <c r="B47" s="560" t="s">
        <v>602</v>
      </c>
      <c r="C47" s="577" t="s">
        <v>408</v>
      </c>
      <c r="D47" s="763" t="s">
        <v>604</v>
      </c>
      <c r="E47" s="387" t="s">
        <v>508</v>
      </c>
      <c r="F47" s="1338">
        <v>0.78</v>
      </c>
      <c r="G47" s="1339"/>
      <c r="H47" s="1339"/>
      <c r="I47" s="1339"/>
      <c r="J47" s="1339"/>
      <c r="K47" s="1339"/>
      <c r="L47" s="1339"/>
      <c r="M47" s="1339"/>
      <c r="N47" s="1339"/>
      <c r="O47" s="1339"/>
      <c r="P47" s="1339"/>
      <c r="Q47" s="1340"/>
    </row>
    <row r="48" spans="1:17" s="6" customFormat="1" ht="45.75" customHeight="1" x14ac:dyDescent="0.3">
      <c r="A48" s="745" t="s">
        <v>48</v>
      </c>
      <c r="B48" s="561" t="s">
        <v>605</v>
      </c>
      <c r="C48" s="578" t="s">
        <v>606</v>
      </c>
      <c r="D48" s="768" t="s">
        <v>607</v>
      </c>
      <c r="E48" s="388" t="s">
        <v>513</v>
      </c>
      <c r="F48" s="1341">
        <v>0</v>
      </c>
      <c r="G48" s="1075"/>
      <c r="H48" s="1075"/>
      <c r="I48" s="1075"/>
      <c r="J48" s="1075"/>
      <c r="K48" s="1342"/>
      <c r="L48" s="1343">
        <v>0.03</v>
      </c>
      <c r="M48" s="1344"/>
      <c r="N48" s="1344"/>
      <c r="O48" s="1344"/>
      <c r="P48" s="1344"/>
      <c r="Q48" s="1345"/>
    </row>
    <row r="49" spans="1:17" s="6" customFormat="1" ht="56.25" customHeight="1" x14ac:dyDescent="0.3">
      <c r="A49" s="745" t="s">
        <v>154</v>
      </c>
      <c r="B49" s="562" t="s">
        <v>413</v>
      </c>
      <c r="C49" s="572" t="s">
        <v>157</v>
      </c>
      <c r="D49" s="758" t="s">
        <v>353</v>
      </c>
      <c r="E49" s="36" t="s">
        <v>508</v>
      </c>
      <c r="F49" s="1297">
        <v>0.85</v>
      </c>
      <c r="G49" s="1302"/>
      <c r="H49" s="1302"/>
      <c r="I49" s="1302"/>
      <c r="J49" s="1302"/>
      <c r="K49" s="1302"/>
      <c r="L49" s="1302"/>
      <c r="M49" s="1302"/>
      <c r="N49" s="1302"/>
      <c r="O49" s="1302"/>
      <c r="P49" s="1302"/>
      <c r="Q49" s="1303"/>
    </row>
    <row r="50" spans="1:17" s="6" customFormat="1" ht="56.25" customHeight="1" x14ac:dyDescent="0.3">
      <c r="A50" s="745" t="s">
        <v>154</v>
      </c>
      <c r="B50" s="561" t="s">
        <v>414</v>
      </c>
      <c r="C50" s="571" t="s">
        <v>415</v>
      </c>
      <c r="D50" s="760" t="s">
        <v>96</v>
      </c>
      <c r="E50" s="388" t="s">
        <v>513</v>
      </c>
      <c r="F50" s="1080">
        <v>1</v>
      </c>
      <c r="G50" s="1238"/>
      <c r="H50" s="1238"/>
      <c r="I50" s="1238"/>
      <c r="J50" s="1238"/>
      <c r="K50" s="1238"/>
      <c r="L50" s="1304">
        <v>1</v>
      </c>
      <c r="M50" s="1304"/>
      <c r="N50" s="1304"/>
      <c r="O50" s="1304"/>
      <c r="P50" s="1304"/>
      <c r="Q50" s="1305"/>
    </row>
    <row r="51" spans="1:17" s="6" customFormat="1" ht="40.5" customHeight="1" x14ac:dyDescent="0.3">
      <c r="A51" s="745" t="s">
        <v>36</v>
      </c>
      <c r="B51" s="562" t="s">
        <v>416</v>
      </c>
      <c r="C51" s="570" t="s">
        <v>683</v>
      </c>
      <c r="D51" s="758" t="s">
        <v>571</v>
      </c>
      <c r="E51" s="36" t="s">
        <v>519</v>
      </c>
      <c r="F51" s="631">
        <v>0.98</v>
      </c>
      <c r="G51" s="537">
        <v>0.98</v>
      </c>
      <c r="H51" s="537">
        <v>0.97</v>
      </c>
      <c r="I51" s="470">
        <v>0.95899999999999996</v>
      </c>
      <c r="J51" s="470">
        <v>0.95600000000000007</v>
      </c>
      <c r="K51" s="470">
        <v>0.97800000000000009</v>
      </c>
      <c r="L51" s="470">
        <v>0.93399999999999994</v>
      </c>
      <c r="M51" s="470">
        <v>0.93788000000000005</v>
      </c>
      <c r="N51" s="470">
        <v>0.97800000000000009</v>
      </c>
      <c r="O51" s="470">
        <v>0.97399999999999998</v>
      </c>
      <c r="P51" s="537">
        <v>0.97800000000000009</v>
      </c>
      <c r="Q51" s="520">
        <v>0.97599999999999998</v>
      </c>
    </row>
    <row r="52" spans="1:17" s="6" customFormat="1" ht="40.5" customHeight="1" x14ac:dyDescent="0.3">
      <c r="A52" s="745" t="s">
        <v>36</v>
      </c>
      <c r="B52" s="560" t="s">
        <v>418</v>
      </c>
      <c r="C52" s="570" t="s">
        <v>684</v>
      </c>
      <c r="D52" s="759" t="s">
        <v>572</v>
      </c>
      <c r="E52" s="34" t="s">
        <v>519</v>
      </c>
      <c r="F52" s="632">
        <v>1</v>
      </c>
      <c r="G52" s="632">
        <v>1</v>
      </c>
      <c r="H52" s="632">
        <v>1</v>
      </c>
      <c r="I52" s="555">
        <v>0.97499999999999998</v>
      </c>
      <c r="J52" s="555">
        <v>1</v>
      </c>
      <c r="K52" s="555">
        <v>1</v>
      </c>
      <c r="L52" s="555">
        <v>1</v>
      </c>
      <c r="M52" s="555">
        <v>0.99729999999999996</v>
      </c>
      <c r="N52" s="555">
        <v>0.99750000000000005</v>
      </c>
      <c r="O52" s="555">
        <v>1</v>
      </c>
      <c r="P52" s="538">
        <v>0.99750000000000005</v>
      </c>
      <c r="Q52" s="556">
        <v>1</v>
      </c>
    </row>
    <row r="53" spans="1:17" s="6" customFormat="1" ht="40.5" customHeight="1" x14ac:dyDescent="0.3">
      <c r="A53" s="745" t="s">
        <v>36</v>
      </c>
      <c r="B53" s="560" t="s">
        <v>417</v>
      </c>
      <c r="C53" s="570" t="s">
        <v>488</v>
      </c>
      <c r="D53" s="759" t="s">
        <v>573</v>
      </c>
      <c r="E53" s="162" t="s">
        <v>519</v>
      </c>
      <c r="F53" s="632">
        <v>0.92</v>
      </c>
      <c r="G53" s="538">
        <v>0.89</v>
      </c>
      <c r="H53" s="538">
        <v>0.89</v>
      </c>
      <c r="I53" s="555">
        <v>0.9</v>
      </c>
      <c r="J53" s="555">
        <v>0.94</v>
      </c>
      <c r="K53" s="538">
        <v>0.88</v>
      </c>
      <c r="L53" s="555">
        <v>0.88</v>
      </c>
      <c r="M53" s="555">
        <v>0.79</v>
      </c>
      <c r="N53" s="555">
        <v>0.82</v>
      </c>
      <c r="O53" s="555">
        <v>0.85</v>
      </c>
      <c r="P53" s="538">
        <v>0.85</v>
      </c>
      <c r="Q53" s="556">
        <v>0.85</v>
      </c>
    </row>
    <row r="54" spans="1:17" s="6" customFormat="1" ht="40.5" customHeight="1" x14ac:dyDescent="0.3">
      <c r="A54" s="745" t="s">
        <v>36</v>
      </c>
      <c r="B54" s="560" t="s">
        <v>419</v>
      </c>
      <c r="C54" s="570" t="s">
        <v>685</v>
      </c>
      <c r="D54" s="759" t="s">
        <v>573</v>
      </c>
      <c r="E54" s="162" t="s">
        <v>519</v>
      </c>
      <c r="F54" s="632">
        <v>0.82</v>
      </c>
      <c r="G54" s="538">
        <v>0.86</v>
      </c>
      <c r="H54" s="538">
        <v>0.87</v>
      </c>
      <c r="I54" s="555">
        <v>0.86</v>
      </c>
      <c r="J54" s="555">
        <v>0.81</v>
      </c>
      <c r="K54" s="538">
        <v>0.82</v>
      </c>
      <c r="L54" s="555">
        <v>0.94</v>
      </c>
      <c r="M54" s="555">
        <v>0.85</v>
      </c>
      <c r="N54" s="555">
        <v>0.9</v>
      </c>
      <c r="O54" s="555">
        <v>0.86</v>
      </c>
      <c r="P54" s="538">
        <v>0.83</v>
      </c>
      <c r="Q54" s="556">
        <v>0.91</v>
      </c>
    </row>
    <row r="55" spans="1:17" s="6" customFormat="1" ht="40.5" customHeight="1" x14ac:dyDescent="0.3">
      <c r="A55" s="745" t="s">
        <v>36</v>
      </c>
      <c r="B55" s="560" t="s">
        <v>420</v>
      </c>
      <c r="C55" s="570" t="s">
        <v>421</v>
      </c>
      <c r="D55" s="759" t="s">
        <v>398</v>
      </c>
      <c r="E55" s="162" t="s">
        <v>519</v>
      </c>
      <c r="F55" s="671">
        <v>-0.08</v>
      </c>
      <c r="G55" s="652">
        <v>-0.17</v>
      </c>
      <c r="H55" s="538">
        <v>0.06</v>
      </c>
      <c r="I55" s="555">
        <v>0.59313696412178174</v>
      </c>
      <c r="J55" s="651">
        <v>-0.16914919898541442</v>
      </c>
      <c r="K55" s="538">
        <v>-5.437796395866458E-2</v>
      </c>
      <c r="L55" s="555">
        <v>0.23483806602428997</v>
      </c>
      <c r="M55" s="555">
        <v>7.8233331280951821E-2</v>
      </c>
      <c r="N55" s="651">
        <v>-0.41059089473335986</v>
      </c>
      <c r="O55" s="555">
        <v>0.3368987108230862</v>
      </c>
      <c r="P55" s="652">
        <v>-0.1488490387866257</v>
      </c>
      <c r="Q55" s="716">
        <v>-0.14000000000000001</v>
      </c>
    </row>
    <row r="56" spans="1:17" s="6" customFormat="1" ht="40.5" customHeight="1" x14ac:dyDescent="0.3">
      <c r="A56" s="745" t="s">
        <v>36</v>
      </c>
      <c r="B56" s="560" t="s">
        <v>525</v>
      </c>
      <c r="C56" s="570" t="s">
        <v>686</v>
      </c>
      <c r="D56" s="759" t="s">
        <v>398</v>
      </c>
      <c r="E56" s="162" t="s">
        <v>519</v>
      </c>
      <c r="F56" s="671">
        <v>-0.73</v>
      </c>
      <c r="G56" s="652">
        <v>-0.14000000000000001</v>
      </c>
      <c r="H56" s="538">
        <v>0.37</v>
      </c>
      <c r="I56" s="651">
        <v>-0.53048938388204048</v>
      </c>
      <c r="J56" s="555">
        <v>5.9608970979747322E-2</v>
      </c>
      <c r="K56" s="652">
        <v>-3.1591300441463729E-2</v>
      </c>
      <c r="L56" s="555">
        <v>0.37462715885130954</v>
      </c>
      <c r="M56" s="555">
        <v>9.5979325442571151E-2</v>
      </c>
      <c r="N56" s="651">
        <v>-0.10518175831722737</v>
      </c>
      <c r="O56" s="555">
        <v>0.76249935901346133</v>
      </c>
      <c r="P56" s="652">
        <v>-5.2787354866154859</v>
      </c>
      <c r="Q56" s="556">
        <v>0.37</v>
      </c>
    </row>
    <row r="57" spans="1:17" s="6" customFormat="1" ht="40.5" customHeight="1" x14ac:dyDescent="0.3">
      <c r="A57" s="745" t="s">
        <v>36</v>
      </c>
      <c r="B57" s="560" t="s">
        <v>620</v>
      </c>
      <c r="C57" s="617" t="s">
        <v>640</v>
      </c>
      <c r="D57" s="759">
        <v>11</v>
      </c>
      <c r="E57" s="162" t="s">
        <v>519</v>
      </c>
      <c r="F57" s="672">
        <v>9</v>
      </c>
      <c r="G57" s="673">
        <v>8</v>
      </c>
      <c r="H57" s="673">
        <v>8</v>
      </c>
      <c r="I57" s="672">
        <v>8</v>
      </c>
      <c r="J57" s="672">
        <v>10</v>
      </c>
      <c r="K57" s="672">
        <v>8</v>
      </c>
      <c r="L57" s="672">
        <v>8</v>
      </c>
      <c r="M57" s="672">
        <v>6</v>
      </c>
      <c r="N57" s="672">
        <v>7</v>
      </c>
      <c r="O57" s="672">
        <v>4</v>
      </c>
      <c r="P57" s="672">
        <v>2</v>
      </c>
      <c r="Q57" s="706">
        <v>9</v>
      </c>
    </row>
    <row r="58" spans="1:17" s="6" customFormat="1" ht="40.5" customHeight="1" x14ac:dyDescent="0.3">
      <c r="A58" s="745" t="s">
        <v>36</v>
      </c>
      <c r="B58" s="560" t="s">
        <v>620</v>
      </c>
      <c r="C58" s="617" t="s">
        <v>641</v>
      </c>
      <c r="D58" s="759">
        <v>11</v>
      </c>
      <c r="E58" s="162" t="s">
        <v>519</v>
      </c>
      <c r="F58" s="674">
        <v>5</v>
      </c>
      <c r="G58" s="675">
        <v>7</v>
      </c>
      <c r="H58" s="675">
        <v>7</v>
      </c>
      <c r="I58" s="674">
        <v>7</v>
      </c>
      <c r="J58" s="674">
        <v>8</v>
      </c>
      <c r="K58" s="674">
        <v>8</v>
      </c>
      <c r="L58" s="674">
        <v>6</v>
      </c>
      <c r="M58" s="674">
        <v>3</v>
      </c>
      <c r="N58" s="674">
        <v>8</v>
      </c>
      <c r="O58" s="674">
        <v>6</v>
      </c>
      <c r="P58" s="674">
        <v>3</v>
      </c>
      <c r="Q58" s="707">
        <v>6</v>
      </c>
    </row>
    <row r="59" spans="1:17" s="6" customFormat="1" ht="40.5" customHeight="1" x14ac:dyDescent="0.3">
      <c r="A59" s="745" t="s">
        <v>36</v>
      </c>
      <c r="B59" s="561" t="s">
        <v>425</v>
      </c>
      <c r="C59" s="571" t="s">
        <v>426</v>
      </c>
      <c r="D59" s="760">
        <v>1</v>
      </c>
      <c r="E59" s="257" t="s">
        <v>519</v>
      </c>
      <c r="F59" s="633">
        <v>1</v>
      </c>
      <c r="G59" s="539">
        <v>1</v>
      </c>
      <c r="H59" s="539">
        <v>1</v>
      </c>
      <c r="I59" s="472">
        <v>1</v>
      </c>
      <c r="J59" s="472">
        <v>1</v>
      </c>
      <c r="K59" s="472">
        <v>1</v>
      </c>
      <c r="L59" s="472">
        <v>1</v>
      </c>
      <c r="M59" s="472">
        <v>1</v>
      </c>
      <c r="N59" s="472">
        <v>1</v>
      </c>
      <c r="O59" s="472">
        <v>1</v>
      </c>
      <c r="P59" s="472">
        <v>1</v>
      </c>
      <c r="Q59" s="521">
        <v>1</v>
      </c>
    </row>
    <row r="60" spans="1:17" ht="49.5" customHeight="1" x14ac:dyDescent="0.3">
      <c r="A60" s="522" t="s">
        <v>134</v>
      </c>
      <c r="B60" s="565" t="s">
        <v>427</v>
      </c>
      <c r="C60" s="579" t="s">
        <v>428</v>
      </c>
      <c r="D60" s="769" t="s">
        <v>406</v>
      </c>
      <c r="E60" s="363" t="s">
        <v>508</v>
      </c>
      <c r="F60" s="1328"/>
      <c r="G60" s="1329"/>
      <c r="H60" s="1329"/>
      <c r="I60" s="1329"/>
      <c r="J60" s="1329"/>
      <c r="K60" s="1329"/>
      <c r="L60" s="1329"/>
      <c r="M60" s="1329"/>
      <c r="N60" s="1329"/>
      <c r="O60" s="1329"/>
      <c r="P60" s="1329"/>
      <c r="Q60" s="1330"/>
    </row>
    <row r="61" spans="1:17" s="6" customFormat="1" ht="42" customHeight="1" x14ac:dyDescent="0.3">
      <c r="A61" s="745" t="s">
        <v>254</v>
      </c>
      <c r="B61" s="562" t="s">
        <v>429</v>
      </c>
      <c r="C61" s="572" t="s">
        <v>430</v>
      </c>
      <c r="D61" s="758" t="s">
        <v>688</v>
      </c>
      <c r="E61" s="243" t="s">
        <v>519</v>
      </c>
      <c r="F61" s="780">
        <v>15.56</v>
      </c>
      <c r="G61" s="781">
        <v>15.43</v>
      </c>
      <c r="H61" s="781">
        <v>15.52</v>
      </c>
      <c r="I61" s="782">
        <v>15.15</v>
      </c>
      <c r="J61" s="783">
        <v>15</v>
      </c>
      <c r="K61" s="784">
        <v>22.2</v>
      </c>
      <c r="L61" s="785">
        <v>17.45</v>
      </c>
      <c r="M61" s="785">
        <v>20.27</v>
      </c>
      <c r="N61" s="785">
        <v>14.32</v>
      </c>
      <c r="O61" s="785">
        <v>17.29</v>
      </c>
      <c r="P61" s="785">
        <v>21.2</v>
      </c>
      <c r="Q61" s="786">
        <v>17.38</v>
      </c>
    </row>
    <row r="62" spans="1:17" s="6" customFormat="1" ht="42" customHeight="1" x14ac:dyDescent="0.3">
      <c r="A62" s="745" t="s">
        <v>254</v>
      </c>
      <c r="B62" s="560" t="s">
        <v>429</v>
      </c>
      <c r="C62" s="570" t="s">
        <v>432</v>
      </c>
      <c r="D62" s="759" t="s">
        <v>689</v>
      </c>
      <c r="E62" s="162" t="s">
        <v>519</v>
      </c>
      <c r="F62" s="787">
        <v>11.57</v>
      </c>
      <c r="G62" s="788">
        <v>27.13</v>
      </c>
      <c r="H62" s="788">
        <v>14.08</v>
      </c>
      <c r="I62" s="789">
        <v>16.29</v>
      </c>
      <c r="J62" s="790">
        <v>18.14</v>
      </c>
      <c r="K62" s="789">
        <v>16.59</v>
      </c>
      <c r="L62" s="791">
        <v>20.190000000000001</v>
      </c>
      <c r="M62" s="791">
        <v>15.53</v>
      </c>
      <c r="N62" s="791">
        <v>20.47</v>
      </c>
      <c r="O62" s="791">
        <v>16.36</v>
      </c>
      <c r="P62" s="791">
        <v>18.41</v>
      </c>
      <c r="Q62" s="792">
        <v>12.35</v>
      </c>
    </row>
    <row r="63" spans="1:17" s="6" customFormat="1" ht="45.75" customHeight="1" x14ac:dyDescent="0.3">
      <c r="A63" s="745" t="s">
        <v>254</v>
      </c>
      <c r="B63" s="561" t="s">
        <v>434</v>
      </c>
      <c r="C63" s="619" t="s">
        <v>637</v>
      </c>
      <c r="D63" s="770" t="s">
        <v>621</v>
      </c>
      <c r="E63" s="257" t="s">
        <v>512</v>
      </c>
      <c r="F63" s="1331" t="s">
        <v>676</v>
      </c>
      <c r="G63" s="1332"/>
      <c r="H63" s="1333"/>
      <c r="I63" s="1334">
        <v>3.75</v>
      </c>
      <c r="J63" s="1335"/>
      <c r="K63" s="1336"/>
      <c r="L63" s="1288">
        <v>3.73</v>
      </c>
      <c r="M63" s="1289"/>
      <c r="N63" s="1290"/>
      <c r="O63" s="1288">
        <v>3.57</v>
      </c>
      <c r="P63" s="1289"/>
      <c r="Q63" s="1291"/>
    </row>
    <row r="64" spans="1:17" s="6" customFormat="1" ht="71.25" customHeight="1" x14ac:dyDescent="0.3">
      <c r="A64" s="747" t="s">
        <v>253</v>
      </c>
      <c r="B64" s="560" t="s">
        <v>626</v>
      </c>
      <c r="C64" s="621" t="s">
        <v>622</v>
      </c>
      <c r="D64" s="771" t="s">
        <v>623</v>
      </c>
      <c r="E64" s="37" t="s">
        <v>512</v>
      </c>
      <c r="F64" s="1295">
        <v>0.82</v>
      </c>
      <c r="G64" s="1296"/>
      <c r="H64" s="1297"/>
      <c r="I64" s="1312">
        <v>0.67</v>
      </c>
      <c r="J64" s="1313"/>
      <c r="K64" s="1314"/>
      <c r="L64" s="1315">
        <v>0.72466859667834826</v>
      </c>
      <c r="M64" s="1316"/>
      <c r="N64" s="1317"/>
      <c r="O64" s="1295">
        <v>0.7807612095933264</v>
      </c>
      <c r="P64" s="1296"/>
      <c r="Q64" s="1321"/>
    </row>
    <row r="65" spans="1:17" s="6" customFormat="1" ht="89.25" customHeight="1" x14ac:dyDescent="0.3">
      <c r="A65" s="747" t="s">
        <v>253</v>
      </c>
      <c r="B65" s="608" t="s">
        <v>627</v>
      </c>
      <c r="C65" s="622" t="s">
        <v>624</v>
      </c>
      <c r="D65" s="772" t="s">
        <v>625</v>
      </c>
      <c r="E65" s="44" t="s">
        <v>512</v>
      </c>
      <c r="F65" s="1298">
        <v>0.93</v>
      </c>
      <c r="G65" s="1299"/>
      <c r="H65" s="1300"/>
      <c r="I65" s="1298">
        <v>0.94</v>
      </c>
      <c r="J65" s="1299"/>
      <c r="K65" s="1300"/>
      <c r="L65" s="1318">
        <v>0.91</v>
      </c>
      <c r="M65" s="1319"/>
      <c r="N65" s="1320"/>
      <c r="O65" s="1298">
        <v>0.9</v>
      </c>
      <c r="P65" s="1299"/>
      <c r="Q65" s="1301"/>
    </row>
    <row r="66" spans="1:17" s="6" customFormat="1" ht="45" customHeight="1" x14ac:dyDescent="0.3">
      <c r="A66" s="747" t="s">
        <v>253</v>
      </c>
      <c r="B66" s="566" t="s">
        <v>434</v>
      </c>
      <c r="C66" s="619" t="s">
        <v>628</v>
      </c>
      <c r="D66" s="770" t="s">
        <v>647</v>
      </c>
      <c r="E66" s="44" t="s">
        <v>512</v>
      </c>
      <c r="F66" s="1284">
        <v>3.85</v>
      </c>
      <c r="G66" s="1285"/>
      <c r="H66" s="1286"/>
      <c r="I66" s="1292">
        <v>3.95</v>
      </c>
      <c r="J66" s="1293"/>
      <c r="K66" s="1294"/>
      <c r="L66" s="1284">
        <v>4</v>
      </c>
      <c r="M66" s="1285"/>
      <c r="N66" s="1286"/>
      <c r="O66" s="1284">
        <v>3.88</v>
      </c>
      <c r="P66" s="1285"/>
      <c r="Q66" s="1287"/>
    </row>
    <row r="67" spans="1:17" s="6" customFormat="1" ht="45" customHeight="1" x14ac:dyDescent="0.3">
      <c r="A67" s="747" t="s">
        <v>253</v>
      </c>
      <c r="B67" s="1322" t="s">
        <v>646</v>
      </c>
      <c r="C67" s="624" t="s">
        <v>648</v>
      </c>
      <c r="D67" s="773" t="s">
        <v>649</v>
      </c>
      <c r="E67" s="44" t="s">
        <v>512</v>
      </c>
      <c r="F67" s="1284">
        <v>4.0999999999999996</v>
      </c>
      <c r="G67" s="1285"/>
      <c r="H67" s="1286"/>
      <c r="I67" s="1292">
        <v>4.2699999999999996</v>
      </c>
      <c r="J67" s="1293"/>
      <c r="K67" s="1294"/>
      <c r="L67" s="1284">
        <v>4.32</v>
      </c>
      <c r="M67" s="1285"/>
      <c r="N67" s="1286"/>
      <c r="O67" s="1284">
        <v>4.2300000000000004</v>
      </c>
      <c r="P67" s="1285"/>
      <c r="Q67" s="1287"/>
    </row>
    <row r="68" spans="1:17" s="6" customFormat="1" ht="45" customHeight="1" x14ac:dyDescent="0.3">
      <c r="A68" s="747" t="s">
        <v>253</v>
      </c>
      <c r="B68" s="1323"/>
      <c r="C68" s="624" t="s">
        <v>645</v>
      </c>
      <c r="D68" s="773" t="s">
        <v>650</v>
      </c>
      <c r="E68" s="44" t="s">
        <v>512</v>
      </c>
      <c r="F68" s="1324">
        <v>3.3</v>
      </c>
      <c r="G68" s="1325"/>
      <c r="H68" s="1326"/>
      <c r="I68" s="1324">
        <v>4.03</v>
      </c>
      <c r="J68" s="1325"/>
      <c r="K68" s="1326"/>
      <c r="L68" s="1324">
        <v>4</v>
      </c>
      <c r="M68" s="1325"/>
      <c r="N68" s="1326"/>
      <c r="O68" s="1324">
        <v>3.87</v>
      </c>
      <c r="P68" s="1325"/>
      <c r="Q68" s="1327"/>
    </row>
    <row r="69" spans="1:17" s="6" customFormat="1" ht="48" customHeight="1" x14ac:dyDescent="0.3">
      <c r="A69" s="745" t="s">
        <v>31</v>
      </c>
      <c r="B69" s="562" t="s">
        <v>449</v>
      </c>
      <c r="C69" s="621" t="s">
        <v>450</v>
      </c>
      <c r="D69" s="774" t="s">
        <v>659</v>
      </c>
      <c r="E69" s="243" t="s">
        <v>511</v>
      </c>
      <c r="F69" s="676">
        <v>6.6100000000000006E-2</v>
      </c>
      <c r="G69" s="719">
        <v>7.0300000000000001E-2</v>
      </c>
      <c r="H69" s="717">
        <v>6.9500000000000006E-2</v>
      </c>
      <c r="I69" s="717">
        <v>7.3599999999999999E-2</v>
      </c>
      <c r="J69" s="718">
        <v>7.1400000000000005E-2</v>
      </c>
      <c r="K69" s="341">
        <v>6.7299999999999999E-2</v>
      </c>
      <c r="L69" s="718">
        <v>6.9500000000000006E-2</v>
      </c>
      <c r="M69" s="341">
        <v>6.5600000000000006E-2</v>
      </c>
      <c r="N69" s="634">
        <v>4.9799999999999997E-2</v>
      </c>
      <c r="O69" s="634">
        <v>4.7199999999999999E-2</v>
      </c>
      <c r="P69" s="634">
        <v>5.6599999999999998E-2</v>
      </c>
      <c r="Q69" s="700">
        <v>6.2700000000000006E-2</v>
      </c>
    </row>
    <row r="70" spans="1:17" s="6" customFormat="1" ht="48" customHeight="1" x14ac:dyDescent="0.3">
      <c r="A70" s="745" t="s">
        <v>31</v>
      </c>
      <c r="B70" s="560" t="s">
        <v>544</v>
      </c>
      <c r="C70" s="617" t="s">
        <v>629</v>
      </c>
      <c r="D70" s="771" t="s">
        <v>96</v>
      </c>
      <c r="E70" s="593" t="s">
        <v>655</v>
      </c>
      <c r="F70" s="1306">
        <v>0.5</v>
      </c>
      <c r="G70" s="1307"/>
      <c r="H70" s="1307"/>
      <c r="I70" s="1307"/>
      <c r="J70" s="1307"/>
      <c r="K70" s="1307"/>
      <c r="L70" s="1307"/>
      <c r="M70" s="1307"/>
      <c r="N70" s="1307"/>
      <c r="O70" s="1307"/>
      <c r="P70" s="1307"/>
      <c r="Q70" s="1308"/>
    </row>
    <row r="71" spans="1:17" s="6" customFormat="1" ht="48" customHeight="1" x14ac:dyDescent="0.3">
      <c r="A71" s="745" t="s">
        <v>31</v>
      </c>
      <c r="B71" s="560" t="s">
        <v>453</v>
      </c>
      <c r="C71" s="617" t="s">
        <v>638</v>
      </c>
      <c r="D71" s="771" t="s">
        <v>660</v>
      </c>
      <c r="E71" s="34" t="s">
        <v>508</v>
      </c>
      <c r="F71" s="1281">
        <v>2.9600000000000001E-2</v>
      </c>
      <c r="G71" s="1282"/>
      <c r="H71" s="1282"/>
      <c r="I71" s="1282"/>
      <c r="J71" s="1282"/>
      <c r="K71" s="1282"/>
      <c r="L71" s="1282"/>
      <c r="M71" s="1282"/>
      <c r="N71" s="1282"/>
      <c r="O71" s="1282"/>
      <c r="P71" s="1282"/>
      <c r="Q71" s="1283"/>
    </row>
    <row r="72" spans="1:17" s="6" customFormat="1" ht="42.75" customHeight="1" x14ac:dyDescent="0.3">
      <c r="A72" s="745" t="s">
        <v>17</v>
      </c>
      <c r="B72" s="562" t="s">
        <v>458</v>
      </c>
      <c r="C72" s="621" t="s">
        <v>459</v>
      </c>
      <c r="D72" s="775" t="s">
        <v>630</v>
      </c>
      <c r="E72" s="351" t="s">
        <v>511</v>
      </c>
      <c r="F72" s="12">
        <v>0</v>
      </c>
      <c r="G72" s="12">
        <v>0</v>
      </c>
      <c r="H72" s="12">
        <v>0</v>
      </c>
      <c r="I72" s="668">
        <v>21.52</v>
      </c>
      <c r="J72" s="12">
        <v>0</v>
      </c>
      <c r="K72" s="12">
        <v>0</v>
      </c>
      <c r="L72" s="666">
        <v>21.56</v>
      </c>
      <c r="M72" s="12">
        <v>0</v>
      </c>
      <c r="N72" s="12">
        <v>0</v>
      </c>
      <c r="O72" s="12">
        <v>0</v>
      </c>
      <c r="P72" s="12">
        <v>0</v>
      </c>
      <c r="Q72" s="550">
        <v>0</v>
      </c>
    </row>
    <row r="73" spans="1:17" s="6" customFormat="1" ht="42.75" customHeight="1" x14ac:dyDescent="0.3">
      <c r="A73" s="745" t="s">
        <v>17</v>
      </c>
      <c r="B73" s="561" t="s">
        <v>461</v>
      </c>
      <c r="C73" s="571" t="s">
        <v>462</v>
      </c>
      <c r="D73" s="776" t="s">
        <v>631</v>
      </c>
      <c r="E73" s="354" t="s">
        <v>511</v>
      </c>
      <c r="F73" s="8">
        <v>0</v>
      </c>
      <c r="G73" s="8">
        <v>0</v>
      </c>
      <c r="H73" s="8">
        <v>0</v>
      </c>
      <c r="I73" s="731">
        <v>0.32</v>
      </c>
      <c r="J73" s="8">
        <v>0</v>
      </c>
      <c r="K73" s="8">
        <v>0</v>
      </c>
      <c r="L73" s="664">
        <v>0.43</v>
      </c>
      <c r="M73" s="8">
        <v>0</v>
      </c>
      <c r="N73" s="8">
        <v>0</v>
      </c>
      <c r="O73" s="8">
        <v>0</v>
      </c>
      <c r="P73" s="8">
        <v>0</v>
      </c>
      <c r="Q73" s="701">
        <v>0</v>
      </c>
    </row>
    <row r="74" spans="1:17" s="6" customFormat="1" ht="44.25" customHeight="1" x14ac:dyDescent="0.3">
      <c r="A74" s="745" t="s">
        <v>1</v>
      </c>
      <c r="B74" s="562" t="s">
        <v>464</v>
      </c>
      <c r="C74" s="572" t="s">
        <v>465</v>
      </c>
      <c r="D74" s="758" t="s">
        <v>466</v>
      </c>
      <c r="E74" s="36" t="s">
        <v>513</v>
      </c>
      <c r="F74" s="1112" t="s">
        <v>676</v>
      </c>
      <c r="G74" s="1270"/>
      <c r="H74" s="1270"/>
      <c r="I74" s="1270"/>
      <c r="J74" s="1270"/>
      <c r="K74" s="1270"/>
      <c r="L74" s="969"/>
      <c r="M74" s="969"/>
      <c r="N74" s="969"/>
      <c r="O74" s="969"/>
      <c r="P74" s="969"/>
      <c r="Q74" s="1228"/>
    </row>
    <row r="75" spans="1:17" s="6" customFormat="1" ht="44.25" customHeight="1" x14ac:dyDescent="0.3">
      <c r="A75" s="745" t="s">
        <v>1</v>
      </c>
      <c r="B75" s="561" t="s">
        <v>467</v>
      </c>
      <c r="C75" s="571" t="s">
        <v>468</v>
      </c>
      <c r="D75" s="760" t="s">
        <v>469</v>
      </c>
      <c r="E75" s="37" t="s">
        <v>508</v>
      </c>
      <c r="F75" s="1240"/>
      <c r="G75" s="1241"/>
      <c r="H75" s="1241"/>
      <c r="I75" s="1241"/>
      <c r="J75" s="1241"/>
      <c r="K75" s="1241"/>
      <c r="L75" s="1241"/>
      <c r="M75" s="1241"/>
      <c r="N75" s="1241"/>
      <c r="O75" s="1241"/>
      <c r="P75" s="1241"/>
      <c r="Q75" s="1242"/>
    </row>
    <row r="76" spans="1:17" s="6" customFormat="1" ht="45" customHeight="1" x14ac:dyDescent="0.3">
      <c r="A76" s="745" t="s">
        <v>412</v>
      </c>
      <c r="B76" s="562" t="s">
        <v>470</v>
      </c>
      <c r="C76" s="570" t="s">
        <v>632</v>
      </c>
      <c r="D76" s="759" t="s">
        <v>96</v>
      </c>
      <c r="E76" s="36" t="s">
        <v>655</v>
      </c>
      <c r="F76" s="483" t="s">
        <v>676</v>
      </c>
      <c r="G76" s="684" t="s">
        <v>676</v>
      </c>
      <c r="H76" s="600">
        <v>0.04</v>
      </c>
      <c r="I76" s="600">
        <v>0.19</v>
      </c>
      <c r="J76" s="12" t="s">
        <v>676</v>
      </c>
      <c r="K76" s="600">
        <v>0.25</v>
      </c>
      <c r="L76" s="12" t="s">
        <v>676</v>
      </c>
      <c r="M76" s="12" t="s">
        <v>676</v>
      </c>
      <c r="N76" s="689">
        <v>0.3</v>
      </c>
      <c r="O76" s="395" t="s">
        <v>676</v>
      </c>
      <c r="P76" s="395" t="s">
        <v>676</v>
      </c>
      <c r="Q76" s="601">
        <v>0.06</v>
      </c>
    </row>
    <row r="77" spans="1:17" s="6" customFormat="1" ht="45" customHeight="1" x14ac:dyDescent="0.3">
      <c r="A77" s="745" t="s">
        <v>412</v>
      </c>
      <c r="B77" s="560" t="s">
        <v>473</v>
      </c>
      <c r="C77" s="570" t="s">
        <v>474</v>
      </c>
      <c r="D77" s="759" t="s">
        <v>406</v>
      </c>
      <c r="E77" s="34" t="s">
        <v>512</v>
      </c>
      <c r="F77" s="1054">
        <v>1</v>
      </c>
      <c r="G77" s="1049"/>
      <c r="H77" s="1049"/>
      <c r="I77" s="1049">
        <v>0.75</v>
      </c>
      <c r="J77" s="972"/>
      <c r="K77" s="972"/>
      <c r="L77" s="1049">
        <v>1</v>
      </c>
      <c r="M77" s="972"/>
      <c r="N77" s="972"/>
      <c r="O77" s="1049">
        <v>1</v>
      </c>
      <c r="P77" s="972"/>
      <c r="Q77" s="1271"/>
    </row>
    <row r="78" spans="1:17" s="6" customFormat="1" ht="45" customHeight="1" x14ac:dyDescent="0.3">
      <c r="A78" s="745" t="s">
        <v>412</v>
      </c>
      <c r="B78" s="560" t="s">
        <v>475</v>
      </c>
      <c r="C78" s="570" t="s">
        <v>189</v>
      </c>
      <c r="D78" s="759">
        <v>1</v>
      </c>
      <c r="E78" s="34" t="s">
        <v>547</v>
      </c>
      <c r="F78" s="1273">
        <v>0.75</v>
      </c>
      <c r="G78" s="1274"/>
      <c r="H78" s="1274"/>
      <c r="I78" s="1274"/>
      <c r="J78" s="1274"/>
      <c r="K78" s="1274"/>
      <c r="L78" s="1274"/>
      <c r="M78" s="1274"/>
      <c r="N78" s="1274"/>
      <c r="O78" s="1274"/>
      <c r="P78" s="1274"/>
      <c r="Q78" s="1275"/>
    </row>
    <row r="79" spans="1:17" s="6" customFormat="1" ht="45" customHeight="1" x14ac:dyDescent="0.3">
      <c r="A79" s="745" t="s">
        <v>412</v>
      </c>
      <c r="B79" s="561" t="s">
        <v>476</v>
      </c>
      <c r="C79" s="571" t="s">
        <v>190</v>
      </c>
      <c r="D79" s="760">
        <v>1</v>
      </c>
      <c r="E79" s="37" t="s">
        <v>547</v>
      </c>
      <c r="F79" s="1194">
        <v>1</v>
      </c>
      <c r="G79" s="1032"/>
      <c r="H79" s="1032"/>
      <c r="I79" s="1032"/>
      <c r="J79" s="1032"/>
      <c r="K79" s="1032"/>
      <c r="L79" s="1032"/>
      <c r="M79" s="1032"/>
      <c r="N79" s="1032"/>
      <c r="O79" s="1032"/>
      <c r="P79" s="1032"/>
      <c r="Q79" s="1276"/>
    </row>
    <row r="80" spans="1:17" s="6" customFormat="1" ht="28.8" x14ac:dyDescent="0.3">
      <c r="A80" s="747" t="s">
        <v>56</v>
      </c>
      <c r="B80" s="1263" t="s">
        <v>526</v>
      </c>
      <c r="C80" s="588" t="s">
        <v>639</v>
      </c>
      <c r="D80" s="758">
        <v>0.95</v>
      </c>
      <c r="E80" s="76" t="s">
        <v>519</v>
      </c>
      <c r="F80" s="634">
        <v>1</v>
      </c>
      <c r="G80" s="634">
        <v>1</v>
      </c>
      <c r="H80" s="634">
        <v>1</v>
      </c>
      <c r="I80" s="341">
        <v>0.9</v>
      </c>
      <c r="J80" s="341">
        <v>0.9</v>
      </c>
      <c r="K80" s="341">
        <v>1</v>
      </c>
      <c r="L80" s="383">
        <v>1</v>
      </c>
      <c r="M80" s="383">
        <v>1</v>
      </c>
      <c r="N80" s="383">
        <v>1</v>
      </c>
      <c r="O80" s="383">
        <v>1</v>
      </c>
      <c r="P80" s="383">
        <v>1</v>
      </c>
      <c r="Q80" s="700">
        <v>1</v>
      </c>
    </row>
    <row r="81" spans="1:17" s="6" customFormat="1" ht="53.25" customHeight="1" x14ac:dyDescent="0.3">
      <c r="A81" s="747" t="s">
        <v>56</v>
      </c>
      <c r="B81" s="1264"/>
      <c r="C81" s="580" t="s">
        <v>633</v>
      </c>
      <c r="D81" s="759">
        <v>0.95</v>
      </c>
      <c r="E81" s="77" t="s">
        <v>512</v>
      </c>
      <c r="F81" s="1265">
        <v>0.97</v>
      </c>
      <c r="G81" s="1266"/>
      <c r="H81" s="1267"/>
      <c r="I81" s="1138">
        <v>1</v>
      </c>
      <c r="J81" s="1136"/>
      <c r="K81" s="1137"/>
      <c r="L81" s="1138">
        <v>1</v>
      </c>
      <c r="M81" s="1136"/>
      <c r="N81" s="1137"/>
      <c r="O81" s="1138">
        <v>1</v>
      </c>
      <c r="P81" s="1136"/>
      <c r="Q81" s="1268"/>
    </row>
    <row r="82" spans="1:17" s="6" customFormat="1" ht="53.25" customHeight="1" x14ac:dyDescent="0.3">
      <c r="A82" s="747" t="s">
        <v>56</v>
      </c>
      <c r="B82" s="1277" t="s">
        <v>635</v>
      </c>
      <c r="C82" s="328" t="s">
        <v>531</v>
      </c>
      <c r="D82" s="759">
        <v>0.95</v>
      </c>
      <c r="E82" s="77" t="s">
        <v>519</v>
      </c>
      <c r="F82" s="547">
        <v>0.98</v>
      </c>
      <c r="G82" s="547">
        <v>0.98699999999999999</v>
      </c>
      <c r="H82" s="547">
        <v>0.97599999999999998</v>
      </c>
      <c r="I82" s="383">
        <v>0.98</v>
      </c>
      <c r="J82" s="383">
        <v>0.99</v>
      </c>
      <c r="K82" s="383">
        <v>0.99</v>
      </c>
      <c r="L82" s="383">
        <v>0.99</v>
      </c>
      <c r="M82" s="383">
        <v>0.9889</v>
      </c>
      <c r="N82" s="383">
        <v>0.99419999999999997</v>
      </c>
      <c r="O82" s="693">
        <v>1</v>
      </c>
      <c r="P82" s="693">
        <v>1</v>
      </c>
      <c r="Q82" s="694">
        <v>1</v>
      </c>
    </row>
    <row r="83" spans="1:17" s="6" customFormat="1" ht="30" customHeight="1" x14ac:dyDescent="0.3">
      <c r="A83" s="747" t="s">
        <v>56</v>
      </c>
      <c r="B83" s="1278"/>
      <c r="C83" s="580" t="s">
        <v>576</v>
      </c>
      <c r="D83" s="777"/>
      <c r="E83" s="590"/>
      <c r="F83" s="547"/>
      <c r="G83" s="547"/>
      <c r="H83" s="547"/>
      <c r="I83" s="383"/>
      <c r="J83" s="383"/>
      <c r="K83" s="383"/>
      <c r="L83" s="383"/>
      <c r="M83" s="383"/>
      <c r="N83" s="383"/>
      <c r="O83" s="545"/>
      <c r="P83" s="545"/>
      <c r="Q83" s="546"/>
    </row>
    <row r="84" spans="1:17" s="6" customFormat="1" ht="47.25" customHeight="1" x14ac:dyDescent="0.3">
      <c r="A84" s="747" t="s">
        <v>56</v>
      </c>
      <c r="B84" s="1278"/>
      <c r="C84" s="581" t="s">
        <v>532</v>
      </c>
      <c r="D84" s="766">
        <v>0.95</v>
      </c>
      <c r="E84" s="77" t="s">
        <v>519</v>
      </c>
      <c r="F84" s="383">
        <v>1</v>
      </c>
      <c r="G84" s="383">
        <v>1</v>
      </c>
      <c r="H84" s="383">
        <v>1</v>
      </c>
      <c r="I84" s="383">
        <v>1</v>
      </c>
      <c r="J84" s="383">
        <v>1</v>
      </c>
      <c r="K84" s="383">
        <v>1</v>
      </c>
      <c r="L84" s="383">
        <v>1</v>
      </c>
      <c r="M84" s="383">
        <v>1</v>
      </c>
      <c r="N84" s="695">
        <v>1</v>
      </c>
      <c r="O84" s="696">
        <v>1</v>
      </c>
      <c r="P84" s="696">
        <v>1</v>
      </c>
      <c r="Q84" s="697">
        <v>1</v>
      </c>
    </row>
    <row r="85" spans="1:17" s="6" customFormat="1" ht="47.25" customHeight="1" x14ac:dyDescent="0.3">
      <c r="A85" s="747" t="s">
        <v>56</v>
      </c>
      <c r="B85" s="1278"/>
      <c r="C85" s="582" t="s">
        <v>533</v>
      </c>
      <c r="D85" s="766">
        <v>0.9</v>
      </c>
      <c r="E85" s="77" t="s">
        <v>519</v>
      </c>
      <c r="F85" s="377">
        <v>0.82</v>
      </c>
      <c r="G85" s="377">
        <v>0.85</v>
      </c>
      <c r="H85" s="383">
        <v>0.91</v>
      </c>
      <c r="I85" s="377">
        <v>0.76</v>
      </c>
      <c r="J85" s="377">
        <v>0.87</v>
      </c>
      <c r="K85" s="377">
        <v>0.87</v>
      </c>
      <c r="L85" s="605">
        <v>1</v>
      </c>
      <c r="M85" s="377">
        <v>0.88</v>
      </c>
      <c r="N85" s="695">
        <v>1</v>
      </c>
      <c r="O85" s="698">
        <v>1</v>
      </c>
      <c r="P85" s="698">
        <v>1</v>
      </c>
      <c r="Q85" s="699">
        <v>1</v>
      </c>
    </row>
    <row r="86" spans="1:17" s="6" customFormat="1" ht="47.25" customHeight="1" x14ac:dyDescent="0.3">
      <c r="A86" s="747" t="s">
        <v>56</v>
      </c>
      <c r="B86" s="1278"/>
      <c r="C86" s="582" t="s">
        <v>534</v>
      </c>
      <c r="D86" s="766">
        <v>0.8</v>
      </c>
      <c r="E86" s="77" t="s">
        <v>519</v>
      </c>
      <c r="F86" s="605">
        <v>0.84</v>
      </c>
      <c r="G86" s="605">
        <v>0.9</v>
      </c>
      <c r="H86" s="383">
        <v>0.9</v>
      </c>
      <c r="I86" s="383">
        <v>0.82</v>
      </c>
      <c r="J86" s="383">
        <v>0.85</v>
      </c>
      <c r="K86" s="383">
        <v>0.92</v>
      </c>
      <c r="L86" s="605">
        <v>0.88139999999999996</v>
      </c>
      <c r="M86" s="605">
        <v>0.89870000000000005</v>
      </c>
      <c r="N86" s="695">
        <v>0.91720000000000002</v>
      </c>
      <c r="O86" s="698">
        <v>0.92949999999999999</v>
      </c>
      <c r="P86" s="698">
        <v>0.96699999999999997</v>
      </c>
      <c r="Q86" s="699">
        <v>0.86360000000000003</v>
      </c>
    </row>
    <row r="87" spans="1:17" ht="47.25" customHeight="1" x14ac:dyDescent="0.3">
      <c r="A87" s="747" t="s">
        <v>56</v>
      </c>
      <c r="B87" s="1279"/>
      <c r="C87" s="582" t="s">
        <v>535</v>
      </c>
      <c r="D87" s="766">
        <v>0.75</v>
      </c>
      <c r="E87" s="77" t="s">
        <v>519</v>
      </c>
      <c r="F87" s="383">
        <v>1</v>
      </c>
      <c r="G87" s="383">
        <v>0.9</v>
      </c>
      <c r="H87" s="383">
        <v>1</v>
      </c>
      <c r="I87" s="383">
        <v>1</v>
      </c>
      <c r="J87" s="383">
        <v>1</v>
      </c>
      <c r="K87" s="383">
        <v>1</v>
      </c>
      <c r="L87" s="605">
        <v>0.92</v>
      </c>
      <c r="M87" s="690">
        <v>0.93879999999999997</v>
      </c>
      <c r="N87" s="695">
        <v>0.96230000000000004</v>
      </c>
      <c r="O87" s="698">
        <v>0.81889999999999996</v>
      </c>
      <c r="P87" s="698">
        <v>0.98670000000000002</v>
      </c>
      <c r="Q87" s="699">
        <v>0.96230000000000004</v>
      </c>
    </row>
    <row r="88" spans="1:17" ht="67.5" customHeight="1" x14ac:dyDescent="0.3">
      <c r="A88" s="747" t="s">
        <v>56</v>
      </c>
      <c r="B88" s="567" t="s">
        <v>479</v>
      </c>
      <c r="C88" s="580" t="s">
        <v>536</v>
      </c>
      <c r="D88" s="759" t="s">
        <v>537</v>
      </c>
      <c r="E88" s="77" t="s">
        <v>519</v>
      </c>
      <c r="F88" s="333">
        <v>0</v>
      </c>
      <c r="G88" s="333">
        <v>0</v>
      </c>
      <c r="H88" s="333">
        <v>11</v>
      </c>
      <c r="I88" s="333">
        <v>0</v>
      </c>
      <c r="J88" s="503">
        <v>0</v>
      </c>
      <c r="K88" s="333">
        <v>0</v>
      </c>
      <c r="L88" s="503">
        <v>0</v>
      </c>
      <c r="M88" s="333">
        <v>0</v>
      </c>
      <c r="N88" s="695">
        <v>0</v>
      </c>
      <c r="O88" s="698">
        <v>0</v>
      </c>
      <c r="P88" s="698">
        <v>0</v>
      </c>
      <c r="Q88" s="699">
        <v>0</v>
      </c>
    </row>
    <row r="89" spans="1:17" ht="72" customHeight="1" x14ac:dyDescent="0.3">
      <c r="A89" s="747" t="s">
        <v>56</v>
      </c>
      <c r="B89" s="567" t="s">
        <v>477</v>
      </c>
      <c r="C89" s="580" t="s">
        <v>687</v>
      </c>
      <c r="D89" s="759" t="s">
        <v>636</v>
      </c>
      <c r="E89" s="77" t="s">
        <v>519</v>
      </c>
      <c r="F89" s="333">
        <v>0</v>
      </c>
      <c r="G89" s="333">
        <v>0</v>
      </c>
      <c r="H89" s="333">
        <v>0</v>
      </c>
      <c r="I89" s="333">
        <v>0</v>
      </c>
      <c r="J89" s="503">
        <v>0</v>
      </c>
      <c r="K89" s="333">
        <v>0</v>
      </c>
      <c r="L89" s="333">
        <v>0</v>
      </c>
      <c r="M89" s="333">
        <v>0</v>
      </c>
      <c r="N89" s="333">
        <v>0</v>
      </c>
      <c r="O89" s="333">
        <v>0</v>
      </c>
      <c r="P89" s="333">
        <v>0</v>
      </c>
      <c r="Q89" s="603">
        <v>0</v>
      </c>
    </row>
    <row r="90" spans="1:17" ht="46.5" customHeight="1" x14ac:dyDescent="0.3">
      <c r="A90" s="747" t="s">
        <v>56</v>
      </c>
      <c r="B90" s="1264" t="s">
        <v>538</v>
      </c>
      <c r="C90" s="580" t="s">
        <v>478</v>
      </c>
      <c r="D90" s="771">
        <v>0</v>
      </c>
      <c r="E90" s="77" t="s">
        <v>519</v>
      </c>
      <c r="F90" s="5">
        <v>0</v>
      </c>
      <c r="G90" s="5">
        <v>0</v>
      </c>
      <c r="H90" s="5">
        <v>0</v>
      </c>
      <c r="I90" s="5">
        <v>0</v>
      </c>
      <c r="J90" s="5">
        <v>0</v>
      </c>
      <c r="K90" s="5">
        <v>0</v>
      </c>
      <c r="L90" s="5">
        <v>0</v>
      </c>
      <c r="M90" s="5">
        <v>0</v>
      </c>
      <c r="N90" s="5">
        <v>0</v>
      </c>
      <c r="O90" s="5">
        <v>0</v>
      </c>
      <c r="P90" s="5">
        <v>0</v>
      </c>
      <c r="Q90" s="553">
        <v>0</v>
      </c>
    </row>
    <row r="91" spans="1:17" ht="48" customHeight="1" thickBot="1" x14ac:dyDescent="0.35">
      <c r="A91" s="747" t="s">
        <v>56</v>
      </c>
      <c r="B91" s="1269"/>
      <c r="C91" s="583" t="s">
        <v>634</v>
      </c>
      <c r="D91" s="778" t="s">
        <v>540</v>
      </c>
      <c r="E91" s="527" t="s">
        <v>512</v>
      </c>
      <c r="F91" s="1182">
        <v>0</v>
      </c>
      <c r="G91" s="1183"/>
      <c r="H91" s="1184"/>
      <c r="I91" s="1182">
        <v>0</v>
      </c>
      <c r="J91" s="1183"/>
      <c r="K91" s="1184"/>
      <c r="L91" s="1182">
        <v>0</v>
      </c>
      <c r="M91" s="1183"/>
      <c r="N91" s="1184"/>
      <c r="O91" s="1182">
        <v>0</v>
      </c>
      <c r="P91" s="1183"/>
      <c r="Q91" s="1272"/>
    </row>
    <row r="92" spans="1:17" ht="30.75" customHeight="1" x14ac:dyDescent="0.3">
      <c r="D92" s="779"/>
    </row>
    <row r="93" spans="1:17" ht="30.75" customHeight="1" x14ac:dyDescent="0.3">
      <c r="D93" s="779"/>
    </row>
    <row r="94" spans="1:17" ht="30.75" customHeight="1" x14ac:dyDescent="0.3">
      <c r="D94" s="779"/>
    </row>
    <row r="95" spans="1:17" ht="30.75" customHeight="1" x14ac:dyDescent="0.3">
      <c r="D95" s="779"/>
    </row>
    <row r="96" spans="1:17" ht="30.75" customHeight="1" x14ac:dyDescent="0.3">
      <c r="D96" s="779"/>
    </row>
    <row r="97" spans="4:4" ht="30.75" customHeight="1" x14ac:dyDescent="0.3">
      <c r="D97" s="779"/>
    </row>
    <row r="98" spans="4:4" ht="30.75" customHeight="1" x14ac:dyDescent="0.3">
      <c r="D98" s="779"/>
    </row>
    <row r="99" spans="4:4" ht="30.75" customHeight="1" x14ac:dyDescent="0.3">
      <c r="D99" s="779"/>
    </row>
    <row r="100" spans="4:4" ht="30.75" customHeight="1" x14ac:dyDescent="0.3">
      <c r="D100" s="779"/>
    </row>
    <row r="101" spans="4:4" ht="30.75" customHeight="1" x14ac:dyDescent="0.3">
      <c r="D101" s="779"/>
    </row>
    <row r="102" spans="4:4" ht="30.75" customHeight="1" x14ac:dyDescent="0.3">
      <c r="D102" s="779"/>
    </row>
    <row r="103" spans="4:4" ht="30.75" customHeight="1" x14ac:dyDescent="0.3">
      <c r="D103" s="779"/>
    </row>
    <row r="104" spans="4:4" ht="30.75" customHeight="1" x14ac:dyDescent="0.3">
      <c r="D104" s="779"/>
    </row>
    <row r="105" spans="4:4" ht="30.75" customHeight="1" x14ac:dyDescent="0.3">
      <c r="D105" s="779"/>
    </row>
    <row r="106" spans="4:4" ht="30.75" customHeight="1" x14ac:dyDescent="0.3">
      <c r="D106" s="779"/>
    </row>
    <row r="107" spans="4:4" ht="30.75" customHeight="1" x14ac:dyDescent="0.3">
      <c r="D107" s="779"/>
    </row>
    <row r="108" spans="4:4" ht="30.75" customHeight="1" x14ac:dyDescent="0.3">
      <c r="D108" s="779"/>
    </row>
    <row r="109" spans="4:4" ht="30.75" customHeight="1" x14ac:dyDescent="0.3">
      <c r="D109" s="779"/>
    </row>
    <row r="110" spans="4:4" ht="30.75" customHeight="1" x14ac:dyDescent="0.3">
      <c r="D110" s="779"/>
    </row>
    <row r="111" spans="4:4" ht="30.75" customHeight="1" x14ac:dyDescent="0.3">
      <c r="D111" s="779"/>
    </row>
    <row r="112" spans="4:4" ht="30.75" customHeight="1" x14ac:dyDescent="0.3">
      <c r="D112" s="779"/>
    </row>
    <row r="113" spans="4:4" ht="30.75" customHeight="1" x14ac:dyDescent="0.3">
      <c r="D113" s="779"/>
    </row>
    <row r="114" spans="4:4" ht="30.75" customHeight="1" x14ac:dyDescent="0.3">
      <c r="D114" s="779"/>
    </row>
    <row r="115" spans="4:4" ht="30.75" customHeight="1" x14ac:dyDescent="0.3">
      <c r="D115" s="779"/>
    </row>
    <row r="116" spans="4:4" ht="30.75" customHeight="1" x14ac:dyDescent="0.3">
      <c r="D116" s="779"/>
    </row>
    <row r="117" spans="4:4" ht="30.75" customHeight="1" x14ac:dyDescent="0.3">
      <c r="D117" s="779"/>
    </row>
    <row r="118" spans="4:4" ht="30.75" customHeight="1" x14ac:dyDescent="0.3">
      <c r="D118" s="779"/>
    </row>
    <row r="119" spans="4:4" ht="30.75" customHeight="1" x14ac:dyDescent="0.3">
      <c r="D119" s="779"/>
    </row>
    <row r="120" spans="4:4" ht="30.75" customHeight="1" x14ac:dyDescent="0.3">
      <c r="D120" s="779"/>
    </row>
    <row r="121" spans="4:4" ht="30.75" customHeight="1" x14ac:dyDescent="0.3">
      <c r="D121" s="779"/>
    </row>
    <row r="122" spans="4:4" ht="30.75" customHeight="1" x14ac:dyDescent="0.3">
      <c r="D122" s="779"/>
    </row>
    <row r="123" spans="4:4" ht="30.75" customHeight="1" x14ac:dyDescent="0.3">
      <c r="D123" s="779"/>
    </row>
    <row r="124" spans="4:4" ht="30.75" customHeight="1" x14ac:dyDescent="0.3">
      <c r="D124" s="779"/>
    </row>
    <row r="125" spans="4:4" ht="30.75" customHeight="1" x14ac:dyDescent="0.3">
      <c r="D125" s="779"/>
    </row>
    <row r="126" spans="4:4" ht="30.75" customHeight="1" x14ac:dyDescent="0.3">
      <c r="D126" s="779"/>
    </row>
    <row r="127" spans="4:4" ht="30.75" customHeight="1" x14ac:dyDescent="0.3">
      <c r="D127" s="779"/>
    </row>
    <row r="128" spans="4:4" ht="30.75" customHeight="1" x14ac:dyDescent="0.3">
      <c r="D128" s="779"/>
    </row>
    <row r="129" spans="4:4" ht="30.75" customHeight="1" x14ac:dyDescent="0.3">
      <c r="D129" s="779"/>
    </row>
    <row r="130" spans="4:4" ht="30.75" customHeight="1" x14ac:dyDescent="0.3">
      <c r="D130" s="779"/>
    </row>
    <row r="131" spans="4:4" ht="30.75" customHeight="1" x14ac:dyDescent="0.3">
      <c r="D131" s="779"/>
    </row>
    <row r="132" spans="4:4" ht="30.75" customHeight="1" x14ac:dyDescent="0.3">
      <c r="D132" s="779"/>
    </row>
    <row r="133" spans="4:4" ht="30.75" customHeight="1" x14ac:dyDescent="0.3">
      <c r="D133" s="779"/>
    </row>
    <row r="134" spans="4:4" ht="30.75" customHeight="1" x14ac:dyDescent="0.3">
      <c r="D134" s="779"/>
    </row>
    <row r="135" spans="4:4" ht="30.75" customHeight="1" x14ac:dyDescent="0.3">
      <c r="D135" s="779"/>
    </row>
    <row r="136" spans="4:4" ht="30.75" customHeight="1" x14ac:dyDescent="0.3">
      <c r="D136" s="779"/>
    </row>
    <row r="137" spans="4:4" ht="30.75" customHeight="1" x14ac:dyDescent="0.3">
      <c r="D137" s="779"/>
    </row>
    <row r="138" spans="4:4" ht="30.75" customHeight="1" x14ac:dyDescent="0.3">
      <c r="D138" s="779"/>
    </row>
    <row r="139" spans="4:4" ht="30.75" customHeight="1" x14ac:dyDescent="0.3">
      <c r="D139" s="779"/>
    </row>
    <row r="140" spans="4:4" ht="30.75" customHeight="1" x14ac:dyDescent="0.3">
      <c r="D140" s="779"/>
    </row>
    <row r="141" spans="4:4" ht="30.75" customHeight="1" x14ac:dyDescent="0.3">
      <c r="D141" s="779"/>
    </row>
    <row r="142" spans="4:4" ht="30.75" customHeight="1" x14ac:dyDescent="0.3">
      <c r="D142" s="779"/>
    </row>
    <row r="143" spans="4:4" ht="30.75" customHeight="1" x14ac:dyDescent="0.3">
      <c r="D143" s="779"/>
    </row>
    <row r="144" spans="4:4" ht="30.75" customHeight="1" x14ac:dyDescent="0.3">
      <c r="D144" s="779"/>
    </row>
    <row r="145" spans="4:4" ht="30.75" customHeight="1" x14ac:dyDescent="0.3">
      <c r="D145" s="779"/>
    </row>
    <row r="146" spans="4:4" ht="30.75" customHeight="1" x14ac:dyDescent="0.3">
      <c r="D146" s="779"/>
    </row>
    <row r="147" spans="4:4" ht="30.75" customHeight="1" x14ac:dyDescent="0.3">
      <c r="D147" s="779"/>
    </row>
    <row r="148" spans="4:4" ht="30.75" customHeight="1" x14ac:dyDescent="0.3">
      <c r="D148" s="779"/>
    </row>
    <row r="149" spans="4:4" ht="30.75" customHeight="1" x14ac:dyDescent="0.3">
      <c r="D149" s="779"/>
    </row>
    <row r="150" spans="4:4" ht="30.75" customHeight="1" x14ac:dyDescent="0.3">
      <c r="D150" s="779"/>
    </row>
    <row r="151" spans="4:4" ht="30.75" customHeight="1" x14ac:dyDescent="0.3">
      <c r="D151" s="779"/>
    </row>
    <row r="152" spans="4:4" ht="30.75" customHeight="1" x14ac:dyDescent="0.3">
      <c r="D152" s="779"/>
    </row>
    <row r="153" spans="4:4" ht="30.75" customHeight="1" x14ac:dyDescent="0.3">
      <c r="D153" s="779"/>
    </row>
    <row r="154" spans="4:4" ht="30.75" customHeight="1" x14ac:dyDescent="0.3">
      <c r="D154" s="779"/>
    </row>
    <row r="155" spans="4:4" ht="30.75" customHeight="1" x14ac:dyDescent="0.3">
      <c r="D155" s="779"/>
    </row>
    <row r="156" spans="4:4" ht="30.75" customHeight="1" x14ac:dyDescent="0.3">
      <c r="D156" s="779"/>
    </row>
    <row r="157" spans="4:4" ht="30.75" customHeight="1" x14ac:dyDescent="0.3">
      <c r="D157" s="779"/>
    </row>
    <row r="158" spans="4:4" ht="30.75" customHeight="1" x14ac:dyDescent="0.3">
      <c r="D158" s="779"/>
    </row>
    <row r="159" spans="4:4" ht="30.75" customHeight="1" x14ac:dyDescent="0.3">
      <c r="D159" s="779"/>
    </row>
    <row r="160" spans="4:4" ht="30.75" customHeight="1" x14ac:dyDescent="0.3">
      <c r="D160" s="779"/>
    </row>
    <row r="161" spans="4:4" ht="30.75" customHeight="1" x14ac:dyDescent="0.3">
      <c r="D161" s="779"/>
    </row>
    <row r="162" spans="4:4" ht="30.75" customHeight="1" x14ac:dyDescent="0.3">
      <c r="D162" s="779"/>
    </row>
    <row r="163" spans="4:4" ht="30.75" customHeight="1" x14ac:dyDescent="0.3">
      <c r="D163" s="779"/>
    </row>
    <row r="164" spans="4:4" ht="30.75" customHeight="1" x14ac:dyDescent="0.3">
      <c r="D164" s="779"/>
    </row>
    <row r="165" spans="4:4" ht="30.75" customHeight="1" x14ac:dyDescent="0.3">
      <c r="D165" s="779"/>
    </row>
    <row r="166" spans="4:4" ht="30.75" customHeight="1" x14ac:dyDescent="0.3">
      <c r="D166" s="779"/>
    </row>
    <row r="167" spans="4:4" ht="30.75" customHeight="1" x14ac:dyDescent="0.3">
      <c r="D167" s="779"/>
    </row>
    <row r="168" spans="4:4" ht="30.75" customHeight="1" x14ac:dyDescent="0.3">
      <c r="D168" s="779"/>
    </row>
    <row r="169" spans="4:4" ht="30.75" customHeight="1" x14ac:dyDescent="0.3">
      <c r="D169" s="779"/>
    </row>
    <row r="170" spans="4:4" ht="30.75" customHeight="1" x14ac:dyDescent="0.3">
      <c r="D170" s="779"/>
    </row>
    <row r="171" spans="4:4" ht="30.75" customHeight="1" x14ac:dyDescent="0.3">
      <c r="D171" s="779"/>
    </row>
    <row r="172" spans="4:4" ht="30.75" customHeight="1" x14ac:dyDescent="0.3">
      <c r="D172" s="779"/>
    </row>
    <row r="173" spans="4:4" ht="30.75" customHeight="1" x14ac:dyDescent="0.3">
      <c r="D173" s="779"/>
    </row>
    <row r="174" spans="4:4" ht="30.75" customHeight="1" x14ac:dyDescent="0.3">
      <c r="D174" s="779"/>
    </row>
    <row r="175" spans="4:4" ht="30.75" customHeight="1" x14ac:dyDescent="0.3">
      <c r="D175" s="779"/>
    </row>
    <row r="176" spans="4:4" ht="30.75" customHeight="1" x14ac:dyDescent="0.3">
      <c r="D176" s="779"/>
    </row>
    <row r="177" spans="4:4" ht="30.75" customHeight="1" x14ac:dyDescent="0.3">
      <c r="D177" s="779"/>
    </row>
    <row r="178" spans="4:4" ht="30.75" customHeight="1" x14ac:dyDescent="0.3">
      <c r="D178" s="779"/>
    </row>
    <row r="179" spans="4:4" ht="30.75" customHeight="1" x14ac:dyDescent="0.3">
      <c r="D179" s="779"/>
    </row>
    <row r="180" spans="4:4" ht="30.75" customHeight="1" x14ac:dyDescent="0.3">
      <c r="D180" s="779"/>
    </row>
    <row r="181" spans="4:4" ht="30.75" customHeight="1" x14ac:dyDescent="0.3">
      <c r="D181" s="779"/>
    </row>
    <row r="182" spans="4:4" ht="30.75" customHeight="1" x14ac:dyDescent="0.3">
      <c r="D182" s="779"/>
    </row>
    <row r="183" spans="4:4" ht="30.75" customHeight="1" x14ac:dyDescent="0.3">
      <c r="D183" s="779"/>
    </row>
    <row r="184" spans="4:4" ht="30.75" customHeight="1" x14ac:dyDescent="0.3">
      <c r="D184" s="779"/>
    </row>
    <row r="185" spans="4:4" ht="30.75" customHeight="1" x14ac:dyDescent="0.3">
      <c r="D185" s="779"/>
    </row>
    <row r="186" spans="4:4" ht="30.75" customHeight="1" x14ac:dyDescent="0.3">
      <c r="D186" s="779"/>
    </row>
    <row r="187" spans="4:4" ht="30.75" customHeight="1" x14ac:dyDescent="0.3">
      <c r="D187" s="779"/>
    </row>
    <row r="188" spans="4:4" ht="30.75" customHeight="1" x14ac:dyDescent="0.3">
      <c r="D188" s="779"/>
    </row>
    <row r="189" spans="4:4" ht="30.75" customHeight="1" x14ac:dyDescent="0.3">
      <c r="D189" s="779"/>
    </row>
    <row r="190" spans="4:4" ht="30.75" customHeight="1" x14ac:dyDescent="0.3">
      <c r="D190" s="779"/>
    </row>
    <row r="191" spans="4:4" ht="30.75" customHeight="1" x14ac:dyDescent="0.3"/>
    <row r="192" spans="4:4" ht="30.75" customHeight="1" x14ac:dyDescent="0.3"/>
    <row r="193" ht="30.75" customHeight="1" x14ac:dyDescent="0.3"/>
    <row r="194" ht="30.75" customHeight="1" x14ac:dyDescent="0.3"/>
    <row r="195" ht="30.75" customHeight="1" x14ac:dyDescent="0.3"/>
    <row r="196" ht="30.75" customHeight="1" x14ac:dyDescent="0.3"/>
    <row r="197" ht="30.75" customHeight="1" x14ac:dyDescent="0.3"/>
    <row r="198" ht="30.75" customHeight="1" x14ac:dyDescent="0.3"/>
    <row r="199" ht="30.75" customHeight="1" x14ac:dyDescent="0.3"/>
    <row r="200" ht="30.75" customHeight="1" x14ac:dyDescent="0.3"/>
    <row r="201" ht="30.75" customHeight="1" x14ac:dyDescent="0.3"/>
    <row r="202" ht="30.75" customHeight="1" x14ac:dyDescent="0.3"/>
    <row r="203" ht="30.75" customHeight="1" x14ac:dyDescent="0.3"/>
    <row r="204" ht="30.75" customHeight="1" x14ac:dyDescent="0.3"/>
    <row r="205" ht="30.75" customHeight="1" x14ac:dyDescent="0.3"/>
    <row r="206" ht="30.75" customHeight="1" x14ac:dyDescent="0.3"/>
    <row r="207" ht="30.75" customHeight="1" x14ac:dyDescent="0.3"/>
    <row r="208" ht="30.75" customHeight="1" x14ac:dyDescent="0.3"/>
    <row r="209" ht="30.75" customHeight="1" x14ac:dyDescent="0.3"/>
    <row r="210" ht="30.75" customHeight="1" x14ac:dyDescent="0.3"/>
    <row r="211" ht="30.75" customHeight="1" x14ac:dyDescent="0.3"/>
    <row r="212" ht="30.75" customHeight="1" x14ac:dyDescent="0.3"/>
    <row r="213" ht="30.75" customHeight="1" x14ac:dyDescent="0.3"/>
    <row r="214" ht="30.75" customHeight="1" x14ac:dyDescent="0.3"/>
    <row r="215" ht="30.75" customHeight="1" x14ac:dyDescent="0.3"/>
    <row r="216" ht="30.75" customHeight="1" x14ac:dyDescent="0.3"/>
    <row r="217" ht="30.75" customHeight="1" x14ac:dyDescent="0.3"/>
    <row r="218" ht="48" customHeight="1" x14ac:dyDescent="0.3"/>
    <row r="219" ht="30.75" customHeight="1" x14ac:dyDescent="0.3"/>
    <row r="220" ht="30.75" customHeight="1" x14ac:dyDescent="0.3"/>
    <row r="221" ht="30.75" customHeight="1" x14ac:dyDescent="0.3"/>
    <row r="222" ht="39.75" customHeight="1" x14ac:dyDescent="0.3"/>
    <row r="223" ht="30.75" customHeight="1" x14ac:dyDescent="0.3"/>
    <row r="224" ht="30.75" customHeight="1" x14ac:dyDescent="0.3"/>
    <row r="225" ht="30.75" customHeight="1" x14ac:dyDescent="0.3"/>
    <row r="226" ht="30.75" customHeight="1" x14ac:dyDescent="0.3"/>
    <row r="227" ht="30.75" customHeight="1" x14ac:dyDescent="0.3"/>
    <row r="228" ht="30.75" customHeight="1" x14ac:dyDescent="0.3"/>
    <row r="229" ht="30.75" customHeight="1" x14ac:dyDescent="0.3"/>
    <row r="230" ht="41.25" customHeight="1" x14ac:dyDescent="0.3"/>
    <row r="231" ht="30.75" customHeight="1" x14ac:dyDescent="0.3"/>
    <row r="232" ht="30.75" customHeight="1" x14ac:dyDescent="0.3"/>
    <row r="233" ht="30.75" customHeight="1" x14ac:dyDescent="0.3"/>
    <row r="234" ht="30.75" customHeight="1" x14ac:dyDescent="0.3"/>
    <row r="235" ht="30.75" customHeight="1" x14ac:dyDescent="0.3"/>
    <row r="236" ht="30.75" customHeight="1" x14ac:dyDescent="0.3"/>
    <row r="237" ht="30.75" customHeight="1" x14ac:dyDescent="0.3"/>
    <row r="238" ht="30.75" customHeight="1" x14ac:dyDescent="0.3"/>
    <row r="239" ht="30.75" customHeight="1" x14ac:dyDescent="0.3"/>
    <row r="240" ht="30.75" customHeight="1" x14ac:dyDescent="0.3"/>
    <row r="241" ht="30.75" customHeight="1" x14ac:dyDescent="0.3"/>
    <row r="242" ht="30.75" customHeight="1" x14ac:dyDescent="0.3"/>
    <row r="243" ht="30.75" customHeight="1" x14ac:dyDescent="0.3"/>
    <row r="244" ht="30.75" customHeight="1" x14ac:dyDescent="0.3"/>
    <row r="245" ht="30.75" customHeight="1" x14ac:dyDescent="0.3"/>
    <row r="246" ht="30.75" customHeight="1" x14ac:dyDescent="0.3"/>
    <row r="247" ht="30.75" customHeight="1" x14ac:dyDescent="0.3"/>
    <row r="248" ht="30.75" customHeight="1" x14ac:dyDescent="0.3"/>
    <row r="249" ht="30.75" customHeight="1" x14ac:dyDescent="0.3"/>
    <row r="250" ht="30.75" customHeight="1" x14ac:dyDescent="0.3"/>
    <row r="251" ht="30.75" customHeight="1" x14ac:dyDescent="0.3"/>
    <row r="252" ht="30.75" customHeight="1" x14ac:dyDescent="0.3"/>
    <row r="253" ht="30.75" customHeight="1" x14ac:dyDescent="0.3"/>
    <row r="254" ht="30.75" customHeight="1" x14ac:dyDescent="0.3"/>
    <row r="255" ht="30.75" customHeight="1" x14ac:dyDescent="0.3"/>
    <row r="256" ht="30.75" customHeight="1" x14ac:dyDescent="0.3"/>
    <row r="257" ht="30.75" customHeight="1" x14ac:dyDescent="0.3"/>
    <row r="258" ht="30.75" customHeight="1" x14ac:dyDescent="0.3"/>
    <row r="259" ht="30.75" customHeight="1" x14ac:dyDescent="0.3"/>
    <row r="260" ht="30.75" customHeight="1" x14ac:dyDescent="0.3"/>
    <row r="261" ht="30.75" customHeight="1" x14ac:dyDescent="0.3"/>
    <row r="262" ht="30.75" customHeight="1" x14ac:dyDescent="0.3"/>
    <row r="263" ht="30.75" customHeight="1" x14ac:dyDescent="0.3"/>
    <row r="264" ht="30.75" customHeight="1" x14ac:dyDescent="0.3"/>
    <row r="265" ht="30.75" customHeight="1" x14ac:dyDescent="0.3"/>
    <row r="266" ht="30.75" customHeight="1" x14ac:dyDescent="0.3"/>
    <row r="267" ht="30.75" customHeight="1" x14ac:dyDescent="0.3"/>
    <row r="268" ht="30.75" customHeight="1" x14ac:dyDescent="0.3"/>
    <row r="269" ht="30.75" customHeight="1" x14ac:dyDescent="0.3"/>
    <row r="270" ht="30.75" customHeight="1" x14ac:dyDescent="0.3"/>
    <row r="271" ht="30.75" customHeight="1" x14ac:dyDescent="0.3"/>
    <row r="272" ht="30.75" customHeight="1" x14ac:dyDescent="0.3"/>
    <row r="273" ht="30.75" customHeight="1" x14ac:dyDescent="0.3"/>
    <row r="274" ht="30.75" customHeight="1" x14ac:dyDescent="0.3"/>
    <row r="275" ht="30.75" customHeight="1" x14ac:dyDescent="0.3"/>
    <row r="276" ht="30.75" customHeight="1" x14ac:dyDescent="0.3"/>
    <row r="277" ht="30.75" customHeight="1" x14ac:dyDescent="0.3"/>
    <row r="278" ht="30.75" customHeight="1" x14ac:dyDescent="0.3"/>
    <row r="279" ht="30.75" customHeight="1" x14ac:dyDescent="0.3"/>
    <row r="280" ht="30.75" customHeight="1" x14ac:dyDescent="0.3"/>
    <row r="281" ht="30.75" customHeight="1" x14ac:dyDescent="0.3"/>
    <row r="282" ht="30.75" customHeight="1" x14ac:dyDescent="0.3"/>
    <row r="283" ht="30.75" customHeight="1" x14ac:dyDescent="0.3"/>
    <row r="284" ht="30.75" customHeight="1" x14ac:dyDescent="0.3"/>
    <row r="285" ht="30.75" customHeight="1" x14ac:dyDescent="0.3"/>
    <row r="286" ht="30.75" customHeight="1" x14ac:dyDescent="0.3"/>
    <row r="287" ht="42.75" customHeight="1" x14ac:dyDescent="0.3"/>
    <row r="288" ht="30.75" customHeight="1" x14ac:dyDescent="0.3"/>
    <row r="289" ht="44.25" customHeight="1" x14ac:dyDescent="0.3"/>
    <row r="290" ht="30.75" customHeight="1" x14ac:dyDescent="0.3"/>
    <row r="291" ht="40.5" customHeight="1" x14ac:dyDescent="0.3"/>
    <row r="292" ht="39.75" customHeight="1" x14ac:dyDescent="0.3"/>
    <row r="293" ht="30.75" customHeight="1" x14ac:dyDescent="0.3"/>
    <row r="294" ht="30.75" customHeight="1" x14ac:dyDescent="0.3"/>
    <row r="295" ht="30.75" customHeight="1" x14ac:dyDescent="0.3"/>
    <row r="296" ht="30.75" customHeight="1" x14ac:dyDescent="0.3"/>
    <row r="297" ht="30.75" customHeight="1" x14ac:dyDescent="0.3"/>
    <row r="298" ht="30.75" customHeight="1" x14ac:dyDescent="0.3"/>
    <row r="299" ht="30.75" customHeight="1" x14ac:dyDescent="0.3"/>
    <row r="300" ht="30.75" customHeight="1" x14ac:dyDescent="0.3"/>
    <row r="301" ht="30.75" customHeight="1" x14ac:dyDescent="0.3"/>
    <row r="302" ht="45.75" customHeight="1" x14ac:dyDescent="0.3"/>
    <row r="303" ht="30.75" customHeight="1" x14ac:dyDescent="0.3"/>
    <row r="304" ht="30.75" customHeight="1" x14ac:dyDescent="0.3"/>
    <row r="305" ht="30.75" customHeight="1" x14ac:dyDescent="0.3"/>
    <row r="306" ht="42" customHeight="1" x14ac:dyDescent="0.3"/>
    <row r="307" ht="30.75" customHeight="1" x14ac:dyDescent="0.3"/>
    <row r="308" ht="30.75" customHeight="1" x14ac:dyDescent="0.3"/>
    <row r="309" ht="30.75" customHeight="1" x14ac:dyDescent="0.3"/>
  </sheetData>
  <mergeCells count="147">
    <mergeCell ref="O1:Q1"/>
    <mergeCell ref="B1:N1"/>
    <mergeCell ref="B20:B22"/>
    <mergeCell ref="F23:K23"/>
    <mergeCell ref="L23:Q23"/>
    <mergeCell ref="B24:B25"/>
    <mergeCell ref="O10:Q10"/>
    <mergeCell ref="F11:H11"/>
    <mergeCell ref="L11:N11"/>
    <mergeCell ref="O11:Q11"/>
    <mergeCell ref="F16:H16"/>
    <mergeCell ref="I16:K16"/>
    <mergeCell ref="L16:N16"/>
    <mergeCell ref="O16:Q16"/>
    <mergeCell ref="F17:H17"/>
    <mergeCell ref="I17:K17"/>
    <mergeCell ref="L17:N17"/>
    <mergeCell ref="O17:Q17"/>
    <mergeCell ref="F18:K18"/>
    <mergeCell ref="L18:Q18"/>
    <mergeCell ref="F19:Q19"/>
    <mergeCell ref="I11:K11"/>
    <mergeCell ref="G3:H3"/>
    <mergeCell ref="F5:H5"/>
    <mergeCell ref="I5:K5"/>
    <mergeCell ref="L5:N5"/>
    <mergeCell ref="O5:Q5"/>
    <mergeCell ref="F7:Q7"/>
    <mergeCell ref="F10:H10"/>
    <mergeCell ref="I10:K10"/>
    <mergeCell ref="L10:N10"/>
    <mergeCell ref="B8:B9"/>
    <mergeCell ref="F8:H8"/>
    <mergeCell ref="F9:H9"/>
    <mergeCell ref="B10:B11"/>
    <mergeCell ref="I8:K8"/>
    <mergeCell ref="I9:K9"/>
    <mergeCell ref="L8:N8"/>
    <mergeCell ref="L9:N9"/>
    <mergeCell ref="O8:Q8"/>
    <mergeCell ref="O9:Q9"/>
    <mergeCell ref="F30:K30"/>
    <mergeCell ref="L30:Q30"/>
    <mergeCell ref="F31:Q31"/>
    <mergeCell ref="F32:H32"/>
    <mergeCell ref="I32:K32"/>
    <mergeCell ref="L32:N32"/>
    <mergeCell ref="F27:H27"/>
    <mergeCell ref="I27:K27"/>
    <mergeCell ref="L27:N27"/>
    <mergeCell ref="O27:Q27"/>
    <mergeCell ref="F28:H28"/>
    <mergeCell ref="I28:K28"/>
    <mergeCell ref="L28:N28"/>
    <mergeCell ref="O28:Q28"/>
    <mergeCell ref="F29:H29"/>
    <mergeCell ref="O32:Q32"/>
    <mergeCell ref="F43:H43"/>
    <mergeCell ref="I43:K43"/>
    <mergeCell ref="L43:N43"/>
    <mergeCell ref="F36:K36"/>
    <mergeCell ref="L36:Q36"/>
    <mergeCell ref="F37:Q37"/>
    <mergeCell ref="I29:K29"/>
    <mergeCell ref="L29:N29"/>
    <mergeCell ref="O29:Q29"/>
    <mergeCell ref="F39:H39"/>
    <mergeCell ref="I39:K39"/>
    <mergeCell ref="L39:N39"/>
    <mergeCell ref="O39:Q39"/>
    <mergeCell ref="F40:H40"/>
    <mergeCell ref="I40:K40"/>
    <mergeCell ref="L40:N40"/>
    <mergeCell ref="F41:H41"/>
    <mergeCell ref="I41:K41"/>
    <mergeCell ref="L41:N41"/>
    <mergeCell ref="F33:Q33"/>
    <mergeCell ref="F34:Q34"/>
    <mergeCell ref="O43:Q43"/>
    <mergeCell ref="O40:Q40"/>
    <mergeCell ref="O41:Q41"/>
    <mergeCell ref="F60:Q60"/>
    <mergeCell ref="F63:H63"/>
    <mergeCell ref="I63:K63"/>
    <mergeCell ref="F46:H46"/>
    <mergeCell ref="I46:K46"/>
    <mergeCell ref="L46:N46"/>
    <mergeCell ref="O46:Q46"/>
    <mergeCell ref="F47:Q47"/>
    <mergeCell ref="F48:K48"/>
    <mergeCell ref="L48:Q48"/>
    <mergeCell ref="I65:K65"/>
    <mergeCell ref="L64:N64"/>
    <mergeCell ref="L65:N65"/>
    <mergeCell ref="O64:Q64"/>
    <mergeCell ref="F67:H67"/>
    <mergeCell ref="B67:B68"/>
    <mergeCell ref="F68:H68"/>
    <mergeCell ref="I67:K67"/>
    <mergeCell ref="I68:K68"/>
    <mergeCell ref="L67:N67"/>
    <mergeCell ref="L68:N68"/>
    <mergeCell ref="O68:Q68"/>
    <mergeCell ref="F38:H38"/>
    <mergeCell ref="I38:K38"/>
    <mergeCell ref="L38:N38"/>
    <mergeCell ref="O38:Q38"/>
    <mergeCell ref="F71:Q71"/>
    <mergeCell ref="L66:N66"/>
    <mergeCell ref="O66:Q66"/>
    <mergeCell ref="L63:N63"/>
    <mergeCell ref="O63:Q63"/>
    <mergeCell ref="F66:H66"/>
    <mergeCell ref="I66:K66"/>
    <mergeCell ref="F64:H64"/>
    <mergeCell ref="O67:Q67"/>
    <mergeCell ref="F65:H65"/>
    <mergeCell ref="O65:Q65"/>
    <mergeCell ref="F49:Q49"/>
    <mergeCell ref="F50:K50"/>
    <mergeCell ref="L50:Q50"/>
    <mergeCell ref="F70:Q70"/>
    <mergeCell ref="F42:H42"/>
    <mergeCell ref="I42:K42"/>
    <mergeCell ref="L42:N42"/>
    <mergeCell ref="O42:Q42"/>
    <mergeCell ref="I64:K64"/>
    <mergeCell ref="B80:B81"/>
    <mergeCell ref="F81:H81"/>
    <mergeCell ref="I81:K81"/>
    <mergeCell ref="L81:N81"/>
    <mergeCell ref="O81:Q81"/>
    <mergeCell ref="B90:B91"/>
    <mergeCell ref="F74:K74"/>
    <mergeCell ref="L74:Q74"/>
    <mergeCell ref="F75:Q75"/>
    <mergeCell ref="F77:H77"/>
    <mergeCell ref="I77:K77"/>
    <mergeCell ref="L77:N77"/>
    <mergeCell ref="O77:Q77"/>
    <mergeCell ref="F91:H91"/>
    <mergeCell ref="I91:K91"/>
    <mergeCell ref="L91:N91"/>
    <mergeCell ref="O91:Q91"/>
    <mergeCell ref="F78:Q78"/>
    <mergeCell ref="F79:Q79"/>
    <mergeCell ref="B82:B87"/>
  </mergeCell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06"/>
  <sheetViews>
    <sheetView showGridLines="0" zoomScale="70" zoomScaleNormal="70" workbookViewId="0">
      <pane xSplit="1" ySplit="6" topLeftCell="C7" activePane="bottomRight" state="frozen"/>
      <selection pane="topRight" activeCell="B1" sqref="B1"/>
      <selection pane="bottomLeft" activeCell="A7" sqref="A7"/>
      <selection pane="bottomRight" activeCell="T4" sqref="T4"/>
    </sheetView>
  </sheetViews>
  <sheetFormatPr baseColWidth="10" defaultRowHeight="14.4" x14ac:dyDescent="0.3"/>
  <cols>
    <col min="1" max="1" width="21.88671875" customWidth="1"/>
    <col min="2" max="2" width="47.88671875" customWidth="1"/>
    <col min="3" max="3" width="47.88671875" style="116" customWidth="1"/>
    <col min="4" max="4" width="26" bestFit="1" customWidth="1"/>
    <col min="5" max="5" width="16.44140625" bestFit="1" customWidth="1"/>
    <col min="6" max="7" width="16" customWidth="1"/>
    <col min="8" max="12" width="15.88671875" customWidth="1"/>
    <col min="13" max="14" width="15.88671875" style="116" customWidth="1"/>
    <col min="15" max="15" width="15.88671875" customWidth="1"/>
    <col min="16" max="17" width="16" customWidth="1"/>
  </cols>
  <sheetData>
    <row r="1" spans="1:17" ht="66.599999999999994" customHeight="1" thickBot="1" x14ac:dyDescent="0.35">
      <c r="A1" s="680"/>
      <c r="B1" s="1383" t="s">
        <v>671</v>
      </c>
      <c r="C1" s="1384"/>
      <c r="D1" s="1384"/>
      <c r="E1" s="1384"/>
      <c r="F1" s="1384"/>
      <c r="G1" s="1384"/>
      <c r="H1" s="1384"/>
      <c r="I1" s="1384"/>
      <c r="J1" s="1384"/>
      <c r="K1" s="1384"/>
      <c r="L1" s="1384"/>
      <c r="M1" s="1384"/>
      <c r="N1" s="1385"/>
      <c r="O1" s="1380" t="s">
        <v>137</v>
      </c>
      <c r="P1" s="1381"/>
      <c r="Q1" s="1382"/>
    </row>
    <row r="2" spans="1:17" x14ac:dyDescent="0.3">
      <c r="A2" s="1"/>
      <c r="B2" s="1"/>
      <c r="C2" s="115"/>
      <c r="D2" s="1"/>
      <c r="E2" s="1"/>
      <c r="F2" s="1"/>
      <c r="G2" s="1"/>
      <c r="H2" s="1"/>
    </row>
    <row r="3" spans="1:17" x14ac:dyDescent="0.3">
      <c r="A3" s="1"/>
      <c r="B3" s="1"/>
      <c r="C3" s="115"/>
      <c r="D3" s="1"/>
      <c r="E3" s="1"/>
      <c r="F3" s="2" t="s">
        <v>65</v>
      </c>
      <c r="G3" s="854">
        <v>45771</v>
      </c>
      <c r="H3" s="854"/>
      <c r="I3" s="685" t="s">
        <v>664</v>
      </c>
      <c r="J3" t="s">
        <v>665</v>
      </c>
    </row>
    <row r="4" spans="1:17" ht="15" thickBot="1" x14ac:dyDescent="0.35">
      <c r="A4" s="1"/>
      <c r="B4" s="1"/>
      <c r="C4" s="115"/>
      <c r="D4" s="1"/>
      <c r="E4" s="1"/>
      <c r="F4" s="1"/>
      <c r="G4" s="1"/>
      <c r="H4" s="1"/>
    </row>
    <row r="5" spans="1:17" ht="15" thickBot="1" x14ac:dyDescent="0.35">
      <c r="A5" s="1"/>
      <c r="B5" s="1"/>
      <c r="C5" s="115"/>
      <c r="D5" s="1"/>
      <c r="E5" s="1"/>
      <c r="F5" s="1150" t="s">
        <v>24</v>
      </c>
      <c r="G5" s="1150"/>
      <c r="H5" s="1151"/>
      <c r="I5" s="1152" t="s">
        <v>25</v>
      </c>
      <c r="J5" s="1150"/>
      <c r="K5" s="1151"/>
      <c r="L5" s="1152" t="s">
        <v>26</v>
      </c>
      <c r="M5" s="1150"/>
      <c r="N5" s="1151"/>
      <c r="O5" s="1152" t="s">
        <v>27</v>
      </c>
      <c r="P5" s="1150"/>
      <c r="Q5" s="1153"/>
    </row>
    <row r="6" spans="1:17" s="6" customFormat="1" ht="15" thickBot="1" x14ac:dyDescent="0.35">
      <c r="A6" s="528" t="s">
        <v>0</v>
      </c>
      <c r="B6" s="529" t="s">
        <v>16</v>
      </c>
      <c r="C6" s="529" t="s">
        <v>15</v>
      </c>
      <c r="D6" s="530" t="s">
        <v>324</v>
      </c>
      <c r="E6" s="531" t="s">
        <v>503</v>
      </c>
      <c r="F6" s="532" t="s">
        <v>3</v>
      </c>
      <c r="G6" s="533" t="s">
        <v>4</v>
      </c>
      <c r="H6" s="533" t="s">
        <v>5</v>
      </c>
      <c r="I6" s="533" t="s">
        <v>6</v>
      </c>
      <c r="J6" s="533" t="s">
        <v>7</v>
      </c>
      <c r="K6" s="533" t="s">
        <v>8</v>
      </c>
      <c r="L6" s="533" t="s">
        <v>9</v>
      </c>
      <c r="M6" s="533" t="s">
        <v>10</v>
      </c>
      <c r="N6" s="533" t="s">
        <v>11</v>
      </c>
      <c r="O6" s="533" t="s">
        <v>12</v>
      </c>
      <c r="P6" s="533" t="s">
        <v>13</v>
      </c>
      <c r="Q6" s="534" t="s">
        <v>14</v>
      </c>
    </row>
    <row r="7" spans="1:17" s="6" customFormat="1" ht="45" customHeight="1" thickBot="1" x14ac:dyDescent="0.35">
      <c r="A7" s="744" t="s">
        <v>22</v>
      </c>
      <c r="B7" s="681" t="s">
        <v>331</v>
      </c>
      <c r="C7" s="682" t="s">
        <v>224</v>
      </c>
      <c r="D7" s="568" t="s">
        <v>334</v>
      </c>
      <c r="E7" s="569" t="s">
        <v>508</v>
      </c>
      <c r="F7" s="1406"/>
      <c r="G7" s="1157"/>
      <c r="H7" s="1157"/>
      <c r="I7" s="1157"/>
      <c r="J7" s="1157"/>
      <c r="K7" s="1157"/>
      <c r="L7" s="1157"/>
      <c r="M7" s="1157"/>
      <c r="N7" s="1157"/>
      <c r="O7" s="1157"/>
      <c r="P7" s="1157"/>
      <c r="Q7" s="1158"/>
    </row>
    <row r="8" spans="1:17" s="6" customFormat="1" ht="45" customHeight="1" thickBot="1" x14ac:dyDescent="0.35">
      <c r="A8" s="744" t="s">
        <v>22</v>
      </c>
      <c r="B8" s="1147" t="s">
        <v>332</v>
      </c>
      <c r="C8" s="570" t="s">
        <v>663</v>
      </c>
      <c r="D8" s="380" t="s">
        <v>336</v>
      </c>
      <c r="E8" s="244" t="s">
        <v>512</v>
      </c>
      <c r="F8" s="1338">
        <v>0.52</v>
      </c>
      <c r="G8" s="1339"/>
      <c r="H8" s="1339"/>
      <c r="I8" s="1372"/>
      <c r="J8" s="1339"/>
      <c r="K8" s="1169"/>
      <c r="L8" s="1373"/>
      <c r="M8" s="1374"/>
      <c r="N8" s="1375"/>
      <c r="O8" s="1044"/>
      <c r="P8" s="1053"/>
      <c r="Q8" s="1379"/>
    </row>
    <row r="9" spans="1:17" s="6" customFormat="1" ht="45" customHeight="1" thickBot="1" x14ac:dyDescent="0.35">
      <c r="A9" s="744" t="s">
        <v>22</v>
      </c>
      <c r="B9" s="1148"/>
      <c r="C9" s="573" t="s">
        <v>652</v>
      </c>
      <c r="D9" s="380" t="s">
        <v>336</v>
      </c>
      <c r="E9" s="244" t="s">
        <v>512</v>
      </c>
      <c r="F9" s="1159">
        <v>1</v>
      </c>
      <c r="G9" s="1159"/>
      <c r="H9" s="1376"/>
      <c r="I9" s="1159"/>
      <c r="J9" s="1159"/>
      <c r="K9" s="1159"/>
      <c r="L9" s="1373"/>
      <c r="M9" s="1374"/>
      <c r="N9" s="1375"/>
      <c r="O9" s="1159"/>
      <c r="P9" s="1159"/>
      <c r="Q9" s="1160"/>
    </row>
    <row r="10" spans="1:17" s="6" customFormat="1" ht="45" customHeight="1" thickBot="1" x14ac:dyDescent="0.35">
      <c r="A10" s="744" t="s">
        <v>22</v>
      </c>
      <c r="B10" s="1377" t="s">
        <v>333</v>
      </c>
      <c r="C10" s="571" t="s">
        <v>653</v>
      </c>
      <c r="D10" s="381" t="s">
        <v>338</v>
      </c>
      <c r="E10" s="244" t="s">
        <v>512</v>
      </c>
      <c r="F10" s="1371">
        <v>1</v>
      </c>
      <c r="G10" s="1053"/>
      <c r="H10" s="1053"/>
      <c r="I10" s="1044"/>
      <c r="J10" s="1053"/>
      <c r="K10" s="1054"/>
      <c r="L10" s="1373"/>
      <c r="M10" s="1374"/>
      <c r="N10" s="1375"/>
      <c r="O10" s="1044"/>
      <c r="P10" s="1053"/>
      <c r="Q10" s="1379"/>
    </row>
    <row r="11" spans="1:17" s="6" customFormat="1" ht="45" customHeight="1" x14ac:dyDescent="0.3">
      <c r="A11" s="744" t="s">
        <v>22</v>
      </c>
      <c r="B11" s="1378"/>
      <c r="C11" s="573" t="s">
        <v>654</v>
      </c>
      <c r="D11" s="380" t="s">
        <v>338</v>
      </c>
      <c r="E11" s="244" t="s">
        <v>512</v>
      </c>
      <c r="F11" s="1159">
        <v>1</v>
      </c>
      <c r="G11" s="1159"/>
      <c r="H11" s="1159"/>
      <c r="I11" s="1159"/>
      <c r="J11" s="1159"/>
      <c r="K11" s="1159"/>
      <c r="L11" s="1395"/>
      <c r="M11" s="1396"/>
      <c r="N11" s="1397"/>
      <c r="O11" s="1161"/>
      <c r="P11" s="1161"/>
      <c r="Q11" s="1398"/>
    </row>
    <row r="12" spans="1:17" s="6" customFormat="1" ht="43.95" customHeight="1" x14ac:dyDescent="0.3">
      <c r="A12" s="1144" t="s">
        <v>57</v>
      </c>
      <c r="B12" s="562" t="s">
        <v>339</v>
      </c>
      <c r="C12" s="572" t="s">
        <v>340</v>
      </c>
      <c r="D12" s="76" t="s">
        <v>341</v>
      </c>
      <c r="E12" s="36" t="s">
        <v>519</v>
      </c>
      <c r="F12" s="737">
        <v>0.93</v>
      </c>
      <c r="G12" s="738">
        <v>0.93</v>
      </c>
      <c r="H12" s="739">
        <v>0.94</v>
      </c>
      <c r="I12" s="475"/>
      <c r="J12" s="400"/>
      <c r="K12" s="400"/>
      <c r="L12" s="401"/>
      <c r="M12" s="401"/>
      <c r="N12" s="401"/>
      <c r="O12" s="400"/>
      <c r="P12" s="400"/>
      <c r="Q12" s="515"/>
    </row>
    <row r="13" spans="1:17" s="6" customFormat="1" ht="43.95" customHeight="1" x14ac:dyDescent="0.3">
      <c r="A13" s="1145"/>
      <c r="B13" s="560" t="s">
        <v>342</v>
      </c>
      <c r="C13" s="570" t="s">
        <v>343</v>
      </c>
      <c r="D13" s="77" t="s">
        <v>344</v>
      </c>
      <c r="E13" s="34" t="s">
        <v>513</v>
      </c>
      <c r="F13" s="740">
        <v>1</v>
      </c>
      <c r="G13" s="741">
        <v>1</v>
      </c>
      <c r="H13" s="742">
        <v>1</v>
      </c>
      <c r="I13" s="478"/>
      <c r="J13" s="406"/>
      <c r="K13" s="406"/>
      <c r="L13" s="407"/>
      <c r="M13" s="407"/>
      <c r="N13" s="407"/>
      <c r="O13" s="479"/>
      <c r="P13" s="479"/>
      <c r="Q13" s="516"/>
    </row>
    <row r="14" spans="1:17" s="6" customFormat="1" ht="43.95" customHeight="1" x14ac:dyDescent="0.3">
      <c r="A14" s="1145"/>
      <c r="B14" s="560" t="s">
        <v>345</v>
      </c>
      <c r="C14" s="573" t="s">
        <v>589</v>
      </c>
      <c r="D14" s="77" t="s">
        <v>347</v>
      </c>
      <c r="E14" s="34" t="s">
        <v>519</v>
      </c>
      <c r="F14" s="740">
        <v>0.99</v>
      </c>
      <c r="G14" s="741">
        <v>0.97</v>
      </c>
      <c r="H14" s="742">
        <v>0.9</v>
      </c>
      <c r="I14" s="478"/>
      <c r="J14" s="406"/>
      <c r="K14" s="406"/>
      <c r="L14" s="407"/>
      <c r="M14" s="407"/>
      <c r="N14" s="407"/>
      <c r="O14" s="479"/>
      <c r="P14" s="479"/>
      <c r="Q14" s="516"/>
    </row>
    <row r="15" spans="1:17" s="6" customFormat="1" ht="43.95" customHeight="1" x14ac:dyDescent="0.3">
      <c r="A15" s="1146"/>
      <c r="B15" s="561" t="s">
        <v>348</v>
      </c>
      <c r="C15" s="571" t="s">
        <v>349</v>
      </c>
      <c r="D15" s="87" t="s">
        <v>350</v>
      </c>
      <c r="E15" s="37" t="s">
        <v>519</v>
      </c>
      <c r="F15" s="743">
        <v>7.0000000000000007E-2</v>
      </c>
      <c r="G15" s="743">
        <v>0.01</v>
      </c>
      <c r="H15" s="743">
        <v>0</v>
      </c>
      <c r="I15" s="686"/>
      <c r="J15" s="551"/>
      <c r="K15" s="551"/>
      <c r="L15" s="692"/>
      <c r="M15" s="692"/>
      <c r="N15" s="692"/>
      <c r="O15" s="551"/>
      <c r="P15" s="551"/>
      <c r="Q15" s="552"/>
    </row>
    <row r="16" spans="1:17" s="6" customFormat="1" ht="46.5" customHeight="1" x14ac:dyDescent="0.3">
      <c r="A16" s="1144" t="s">
        <v>153</v>
      </c>
      <c r="B16" s="562" t="s">
        <v>480</v>
      </c>
      <c r="C16" s="572" t="s">
        <v>481</v>
      </c>
      <c r="D16" s="76" t="s">
        <v>551</v>
      </c>
      <c r="E16" s="36" t="s">
        <v>512</v>
      </c>
      <c r="F16" s="1163">
        <v>1</v>
      </c>
      <c r="G16" s="1027"/>
      <c r="H16" s="1027"/>
      <c r="I16" s="1408"/>
      <c r="J16" s="1409"/>
      <c r="K16" s="1409"/>
      <c r="L16" s="1047"/>
      <c r="M16" s="1027"/>
      <c r="N16" s="1027"/>
      <c r="O16" s="1171"/>
      <c r="P16" s="969"/>
      <c r="Q16" s="1228"/>
    </row>
    <row r="17" spans="1:17" s="6" customFormat="1" ht="46.5" customHeight="1" x14ac:dyDescent="0.3">
      <c r="A17" s="1145"/>
      <c r="B17" s="560" t="s">
        <v>482</v>
      </c>
      <c r="C17" s="570" t="s">
        <v>483</v>
      </c>
      <c r="D17" s="77" t="s">
        <v>549</v>
      </c>
      <c r="E17" s="34" t="s">
        <v>512</v>
      </c>
      <c r="F17" s="1401">
        <v>1</v>
      </c>
      <c r="G17" s="1402"/>
      <c r="H17" s="1402"/>
      <c r="I17" s="1211"/>
      <c r="J17" s="1028"/>
      <c r="K17" s="1028"/>
      <c r="L17" s="1211"/>
      <c r="M17" s="1028"/>
      <c r="N17" s="1028"/>
      <c r="O17" s="1049"/>
      <c r="P17" s="972"/>
      <c r="Q17" s="1271"/>
    </row>
    <row r="18" spans="1:17" s="6" customFormat="1" ht="46.5" customHeight="1" x14ac:dyDescent="0.3">
      <c r="A18" s="1407"/>
      <c r="B18" s="560" t="s">
        <v>484</v>
      </c>
      <c r="C18" s="570" t="s">
        <v>485</v>
      </c>
      <c r="D18" s="77" t="s">
        <v>550</v>
      </c>
      <c r="E18" s="34" t="s">
        <v>513</v>
      </c>
      <c r="F18" s="1054"/>
      <c r="G18" s="1049"/>
      <c r="H18" s="1049"/>
      <c r="I18" s="1049"/>
      <c r="J18" s="1049"/>
      <c r="K18" s="1049"/>
      <c r="L18" s="1391"/>
      <c r="M18" s="1391"/>
      <c r="N18" s="1391"/>
      <c r="O18" s="1391"/>
      <c r="P18" s="1391"/>
      <c r="Q18" s="1392"/>
    </row>
    <row r="19" spans="1:17" s="6" customFormat="1" ht="46.5" customHeight="1" x14ac:dyDescent="0.3">
      <c r="A19" s="1146"/>
      <c r="B19" s="375" t="s">
        <v>613</v>
      </c>
      <c r="C19" s="574" t="s">
        <v>614</v>
      </c>
      <c r="D19" s="559" t="s">
        <v>615</v>
      </c>
      <c r="E19" s="38" t="s">
        <v>508</v>
      </c>
      <c r="F19" s="1403"/>
      <c r="G19" s="1404"/>
      <c r="H19" s="1404"/>
      <c r="I19" s="1404"/>
      <c r="J19" s="1404"/>
      <c r="K19" s="1404"/>
      <c r="L19" s="1404"/>
      <c r="M19" s="1404"/>
      <c r="N19" s="1404"/>
      <c r="O19" s="1404"/>
      <c r="P19" s="1404"/>
      <c r="Q19" s="1405"/>
    </row>
    <row r="20" spans="1:17" s="6" customFormat="1" ht="48.75" customHeight="1" x14ac:dyDescent="0.3">
      <c r="A20" s="1145" t="s">
        <v>75</v>
      </c>
      <c r="B20" s="734" t="s">
        <v>355</v>
      </c>
      <c r="C20" s="570" t="s">
        <v>616</v>
      </c>
      <c r="D20" s="95" t="s">
        <v>596</v>
      </c>
      <c r="E20" s="34" t="s">
        <v>655</v>
      </c>
      <c r="F20" s="678">
        <v>87929</v>
      </c>
      <c r="G20" s="679">
        <v>156834</v>
      </c>
      <c r="H20" s="679">
        <v>239254</v>
      </c>
      <c r="I20" s="736"/>
      <c r="J20" s="488"/>
      <c r="K20" s="488"/>
      <c r="L20" s="486"/>
      <c r="M20" s="486"/>
      <c r="N20" s="486"/>
      <c r="O20" s="416"/>
      <c r="P20" s="416"/>
      <c r="Q20" s="517"/>
    </row>
    <row r="21" spans="1:17" s="6" customFormat="1" ht="48.75" hidden="1" customHeight="1" x14ac:dyDescent="0.3">
      <c r="A21" s="1145"/>
      <c r="B21" s="560" t="s">
        <v>360</v>
      </c>
      <c r="C21" s="570" t="s">
        <v>361</v>
      </c>
      <c r="D21" s="95" t="s">
        <v>362</v>
      </c>
      <c r="E21" s="34" t="s">
        <v>513</v>
      </c>
      <c r="F21" s="1389"/>
      <c r="G21" s="1390"/>
      <c r="H21" s="1390"/>
      <c r="I21" s="1390"/>
      <c r="J21" s="1390"/>
      <c r="K21" s="1390"/>
      <c r="L21" s="1391"/>
      <c r="M21" s="1391"/>
      <c r="N21" s="1391"/>
      <c r="O21" s="1391"/>
      <c r="P21" s="1391"/>
      <c r="Q21" s="1392"/>
    </row>
    <row r="22" spans="1:17" s="6" customFormat="1" ht="48.75" customHeight="1" x14ac:dyDescent="0.3">
      <c r="A22" s="1145"/>
      <c r="B22" s="734" t="s">
        <v>363</v>
      </c>
      <c r="C22" s="570" t="s">
        <v>617</v>
      </c>
      <c r="D22" s="95" t="s">
        <v>666</v>
      </c>
      <c r="E22" s="34" t="s">
        <v>519</v>
      </c>
      <c r="F22" s="678">
        <v>180211</v>
      </c>
      <c r="G22" s="679">
        <v>136412</v>
      </c>
      <c r="H22" s="679">
        <v>135589</v>
      </c>
      <c r="I22" s="488"/>
      <c r="J22" s="488"/>
      <c r="K22" s="488"/>
      <c r="L22" s="486"/>
      <c r="M22" s="486"/>
      <c r="N22" s="416"/>
      <c r="O22" s="416"/>
      <c r="P22" s="416"/>
      <c r="Q22" s="517"/>
    </row>
    <row r="23" spans="1:17" s="391" customFormat="1" ht="54" customHeight="1" x14ac:dyDescent="0.3">
      <c r="A23" s="1144" t="s">
        <v>176</v>
      </c>
      <c r="B23" s="563" t="s">
        <v>369</v>
      </c>
      <c r="C23" s="575" t="s">
        <v>370</v>
      </c>
      <c r="D23" s="223" t="s">
        <v>371</v>
      </c>
      <c r="E23" s="386" t="s">
        <v>519</v>
      </c>
      <c r="F23" s="549">
        <v>0</v>
      </c>
      <c r="G23" s="480">
        <v>0</v>
      </c>
      <c r="H23" s="480">
        <v>0</v>
      </c>
      <c r="I23" s="480"/>
      <c r="J23" s="480"/>
      <c r="K23" s="691"/>
      <c r="L23" s="480"/>
      <c r="M23" s="480"/>
      <c r="N23" s="480"/>
      <c r="O23" s="481"/>
      <c r="P23" s="481"/>
      <c r="Q23" s="519"/>
    </row>
    <row r="24" spans="1:17" s="6" customFormat="1" ht="54" customHeight="1" x14ac:dyDescent="0.3">
      <c r="A24" s="1145"/>
      <c r="B24" s="560" t="s">
        <v>372</v>
      </c>
      <c r="C24" s="570" t="s">
        <v>373</v>
      </c>
      <c r="D24" s="77" t="s">
        <v>374</v>
      </c>
      <c r="E24" s="34" t="s">
        <v>512</v>
      </c>
      <c r="F24" s="1054">
        <v>1</v>
      </c>
      <c r="G24" s="1049"/>
      <c r="H24" s="1049"/>
      <c r="I24" s="1049"/>
      <c r="J24" s="1049"/>
      <c r="K24" s="1049"/>
      <c r="L24" s="1049"/>
      <c r="M24" s="1049"/>
      <c r="N24" s="1049"/>
      <c r="O24" s="1049"/>
      <c r="P24" s="1049"/>
      <c r="Q24" s="1168"/>
    </row>
    <row r="25" spans="1:17" s="6" customFormat="1" ht="54" customHeight="1" x14ac:dyDescent="0.3">
      <c r="A25" s="1145"/>
      <c r="B25" s="560" t="s">
        <v>375</v>
      </c>
      <c r="C25" s="570" t="s">
        <v>376</v>
      </c>
      <c r="D25" s="77" t="s">
        <v>377</v>
      </c>
      <c r="E25" s="34" t="s">
        <v>512</v>
      </c>
      <c r="F25" s="1411">
        <v>0.81</v>
      </c>
      <c r="G25" s="1358"/>
      <c r="H25" s="1358"/>
      <c r="I25" s="1049"/>
      <c r="J25" s="1049"/>
      <c r="K25" s="1049"/>
      <c r="L25" s="1049"/>
      <c r="M25" s="1049"/>
      <c r="N25" s="1049"/>
      <c r="O25" s="1049"/>
      <c r="P25" s="1049"/>
      <c r="Q25" s="1168"/>
    </row>
    <row r="26" spans="1:17" s="6" customFormat="1" ht="54" customHeight="1" x14ac:dyDescent="0.3">
      <c r="A26" s="1146"/>
      <c r="B26" s="561" t="s">
        <v>378</v>
      </c>
      <c r="C26" s="571" t="s">
        <v>379</v>
      </c>
      <c r="D26" s="87" t="s">
        <v>380</v>
      </c>
      <c r="E26" s="37" t="s">
        <v>512</v>
      </c>
      <c r="F26" s="1412"/>
      <c r="G26" s="1413"/>
      <c r="H26" s="1413"/>
      <c r="I26" s="1249"/>
      <c r="J26" s="1250"/>
      <c r="K26" s="1250"/>
      <c r="L26" s="1249"/>
      <c r="M26" s="1250"/>
      <c r="N26" s="1250"/>
      <c r="O26" s="1167"/>
      <c r="P26" s="1167"/>
      <c r="Q26" s="1410"/>
    </row>
    <row r="27" spans="1:17" s="6" customFormat="1" ht="50.25" customHeight="1" x14ac:dyDescent="0.3">
      <c r="A27" s="1144" t="s">
        <v>42</v>
      </c>
      <c r="B27" s="562" t="s">
        <v>505</v>
      </c>
      <c r="C27" s="572" t="s">
        <v>506</v>
      </c>
      <c r="D27" s="150">
        <v>1</v>
      </c>
      <c r="E27" s="384" t="s">
        <v>513</v>
      </c>
      <c r="F27" s="1046"/>
      <c r="G27" s="1171"/>
      <c r="H27" s="1171"/>
      <c r="I27" s="1171"/>
      <c r="J27" s="1171"/>
      <c r="K27" s="1171"/>
      <c r="L27" s="1171"/>
      <c r="M27" s="1171"/>
      <c r="N27" s="1171"/>
      <c r="O27" s="1171"/>
      <c r="P27" s="1171"/>
      <c r="Q27" s="1172"/>
    </row>
    <row r="28" spans="1:17" s="6" customFormat="1" ht="50.25" customHeight="1" x14ac:dyDescent="0.3">
      <c r="A28" s="1145"/>
      <c r="B28" s="560" t="s">
        <v>381</v>
      </c>
      <c r="C28" s="570" t="s">
        <v>382</v>
      </c>
      <c r="D28" s="122" t="s">
        <v>548</v>
      </c>
      <c r="E28" s="385" t="s">
        <v>508</v>
      </c>
      <c r="F28" s="1054"/>
      <c r="G28" s="1049"/>
      <c r="H28" s="1049"/>
      <c r="I28" s="1049"/>
      <c r="J28" s="1049"/>
      <c r="K28" s="1049"/>
      <c r="L28" s="1049"/>
      <c r="M28" s="1049"/>
      <c r="N28" s="1049"/>
      <c r="O28" s="1049"/>
      <c r="P28" s="1049"/>
      <c r="Q28" s="1168"/>
    </row>
    <row r="29" spans="1:17" s="6" customFormat="1" ht="50.25" customHeight="1" x14ac:dyDescent="0.3">
      <c r="A29" s="1145"/>
      <c r="B29" s="560" t="s">
        <v>383</v>
      </c>
      <c r="C29" s="570" t="s">
        <v>384</v>
      </c>
      <c r="D29" s="122" t="s">
        <v>548</v>
      </c>
      <c r="E29" s="385" t="s">
        <v>512</v>
      </c>
      <c r="F29" s="1054">
        <v>1</v>
      </c>
      <c r="G29" s="1049"/>
      <c r="H29" s="1049"/>
      <c r="I29" s="1049"/>
      <c r="J29" s="1049"/>
      <c r="K29" s="1049"/>
      <c r="L29" s="1049"/>
      <c r="M29" s="1049"/>
      <c r="N29" s="1049"/>
      <c r="O29" s="1049"/>
      <c r="P29" s="1049"/>
      <c r="Q29" s="1168"/>
    </row>
    <row r="30" spans="1:17" s="6" customFormat="1" ht="50.25" customHeight="1" x14ac:dyDescent="0.3">
      <c r="A30" s="1145"/>
      <c r="B30" s="560" t="s">
        <v>546</v>
      </c>
      <c r="C30" s="570" t="s">
        <v>618</v>
      </c>
      <c r="D30" s="77" t="s">
        <v>392</v>
      </c>
      <c r="E30" s="385" t="s">
        <v>508</v>
      </c>
      <c r="F30" s="1175"/>
      <c r="G30" s="1176"/>
      <c r="H30" s="1176"/>
      <c r="I30" s="1176"/>
      <c r="J30" s="1176"/>
      <c r="K30" s="1176"/>
      <c r="L30" s="1176"/>
      <c r="M30" s="1176"/>
      <c r="N30" s="1176"/>
      <c r="O30" s="1176"/>
      <c r="P30" s="1176"/>
      <c r="Q30" s="1177"/>
    </row>
    <row r="31" spans="1:17" s="6" customFormat="1" ht="50.25" customHeight="1" x14ac:dyDescent="0.3">
      <c r="A31" s="1145"/>
      <c r="B31" s="560" t="s">
        <v>387</v>
      </c>
      <c r="C31" s="570" t="s">
        <v>388</v>
      </c>
      <c r="D31" s="122">
        <v>1</v>
      </c>
      <c r="E31" s="385" t="s">
        <v>508</v>
      </c>
      <c r="F31" s="1173"/>
      <c r="G31" s="1174"/>
      <c r="H31" s="1174"/>
      <c r="I31" s="1174"/>
      <c r="J31" s="1174"/>
      <c r="K31" s="1174"/>
      <c r="L31" s="1174"/>
      <c r="M31" s="1174"/>
      <c r="N31" s="1174"/>
      <c r="O31" s="1174"/>
      <c r="P31" s="1174"/>
      <c r="Q31" s="1178"/>
    </row>
    <row r="32" spans="1:17" s="6" customFormat="1" ht="50.25" customHeight="1" x14ac:dyDescent="0.3">
      <c r="A32" s="1145"/>
      <c r="B32" s="560" t="s">
        <v>389</v>
      </c>
      <c r="C32" s="570" t="s">
        <v>619</v>
      </c>
      <c r="D32" s="77" t="s">
        <v>392</v>
      </c>
      <c r="E32" s="34" t="s">
        <v>511</v>
      </c>
      <c r="F32" s="554">
        <v>0.11</v>
      </c>
      <c r="G32" s="554">
        <v>0.13</v>
      </c>
      <c r="H32" s="554">
        <v>0.15</v>
      </c>
      <c r="I32" s="554"/>
      <c r="J32" s="554"/>
      <c r="K32" s="538"/>
      <c r="L32" s="555"/>
      <c r="M32" s="555"/>
      <c r="N32" s="555"/>
      <c r="O32" s="555"/>
      <c r="P32" s="538"/>
      <c r="Q32" s="556"/>
    </row>
    <row r="33" spans="1:17" s="6" customFormat="1" ht="50.25" customHeight="1" x14ac:dyDescent="0.3">
      <c r="A33" s="1145"/>
      <c r="B33" s="560" t="s">
        <v>391</v>
      </c>
      <c r="C33" s="570" t="s">
        <v>507</v>
      </c>
      <c r="D33" s="122" t="s">
        <v>548</v>
      </c>
      <c r="E33" s="385" t="s">
        <v>513</v>
      </c>
      <c r="F33" s="1348"/>
      <c r="G33" s="1416"/>
      <c r="H33" s="1416"/>
      <c r="I33" s="1416"/>
      <c r="J33" s="1416"/>
      <c r="K33" s="1416"/>
      <c r="L33" s="1174"/>
      <c r="M33" s="1174"/>
      <c r="N33" s="1174"/>
      <c r="O33" s="1174"/>
      <c r="P33" s="1174"/>
      <c r="Q33" s="1178"/>
    </row>
    <row r="34" spans="1:17" s="6" customFormat="1" ht="50.25" customHeight="1" x14ac:dyDescent="0.3">
      <c r="A34" s="1146"/>
      <c r="B34" s="561" t="s">
        <v>509</v>
      </c>
      <c r="C34" s="571" t="s">
        <v>510</v>
      </c>
      <c r="D34" s="87" t="s">
        <v>514</v>
      </c>
      <c r="E34" s="37" t="s">
        <v>508</v>
      </c>
      <c r="F34" s="1179"/>
      <c r="G34" s="1180"/>
      <c r="H34" s="1180"/>
      <c r="I34" s="1180"/>
      <c r="J34" s="1180"/>
      <c r="K34" s="1180"/>
      <c r="L34" s="1180"/>
      <c r="M34" s="1180"/>
      <c r="N34" s="1180"/>
      <c r="O34" s="1180"/>
      <c r="P34" s="1180"/>
      <c r="Q34" s="1181"/>
    </row>
    <row r="35" spans="1:17" s="96" customFormat="1" ht="45.75" customHeight="1" x14ac:dyDescent="0.3">
      <c r="A35" s="1144" t="s">
        <v>43</v>
      </c>
      <c r="B35" s="562" t="s">
        <v>393</v>
      </c>
      <c r="C35" s="572" t="s">
        <v>394</v>
      </c>
      <c r="D35" s="76" t="s">
        <v>395</v>
      </c>
      <c r="E35" s="36" t="s">
        <v>512</v>
      </c>
      <c r="F35" s="1417"/>
      <c r="G35" s="1418"/>
      <c r="H35" s="1418"/>
      <c r="I35" s="1419"/>
      <c r="J35" s="1420"/>
      <c r="K35" s="1163"/>
      <c r="L35" s="1421"/>
      <c r="M35" s="1421"/>
      <c r="N35" s="1421"/>
      <c r="O35" s="1171"/>
      <c r="P35" s="969"/>
      <c r="Q35" s="1228"/>
    </row>
    <row r="36" spans="1:17" s="6" customFormat="1" ht="45.75" customHeight="1" x14ac:dyDescent="0.3">
      <c r="A36" s="1145"/>
      <c r="B36" s="560" t="s">
        <v>396</v>
      </c>
      <c r="C36" s="570" t="s">
        <v>397</v>
      </c>
      <c r="D36" s="77" t="s">
        <v>398</v>
      </c>
      <c r="E36" s="34" t="s">
        <v>512</v>
      </c>
      <c r="F36" s="1414"/>
      <c r="G36" s="1415"/>
      <c r="H36" s="1415"/>
      <c r="I36" s="1356"/>
      <c r="J36" s="1356"/>
      <c r="K36" s="1356"/>
      <c r="L36" s="1230"/>
      <c r="M36" s="1230"/>
      <c r="N36" s="1230"/>
      <c r="O36" s="1049"/>
      <c r="P36" s="972"/>
      <c r="Q36" s="1271"/>
    </row>
    <row r="37" spans="1:17" s="6" customFormat="1" ht="45.75" customHeight="1" x14ac:dyDescent="0.3">
      <c r="A37" s="1145"/>
      <c r="B37" s="564" t="s">
        <v>543</v>
      </c>
      <c r="C37" s="570" t="s">
        <v>47</v>
      </c>
      <c r="D37" s="77" t="s">
        <v>123</v>
      </c>
      <c r="E37" s="34" t="s">
        <v>512</v>
      </c>
      <c r="F37" s="1106">
        <v>1.3299999999999999E-2</v>
      </c>
      <c r="G37" s="1107"/>
      <c r="H37" s="1042"/>
      <c r="I37" s="1049"/>
      <c r="J37" s="1064"/>
      <c r="K37" s="1064"/>
      <c r="L37" s="1211"/>
      <c r="M37" s="1212"/>
      <c r="N37" s="1212"/>
      <c r="O37" s="547"/>
      <c r="P37" s="5"/>
      <c r="Q37" s="553"/>
    </row>
    <row r="38" spans="1:17" s="6" customFormat="1" ht="45.75" customHeight="1" x14ac:dyDescent="0.3">
      <c r="A38" s="1145"/>
      <c r="B38" s="560" t="s">
        <v>399</v>
      </c>
      <c r="C38" s="570" t="s">
        <v>400</v>
      </c>
      <c r="D38" s="77" t="s">
        <v>522</v>
      </c>
      <c r="E38" s="34" t="s">
        <v>519</v>
      </c>
      <c r="F38" s="972" t="s">
        <v>673</v>
      </c>
      <c r="G38" s="972"/>
      <c r="H38" s="972"/>
      <c r="I38" s="972"/>
      <c r="J38" s="972"/>
      <c r="K38" s="972"/>
      <c r="L38" s="1212"/>
      <c r="M38" s="1212"/>
      <c r="N38" s="1212"/>
      <c r="O38" s="416"/>
      <c r="P38" s="416"/>
      <c r="Q38" s="517"/>
    </row>
    <row r="39" spans="1:17" s="6" customFormat="1" ht="45.75" customHeight="1" x14ac:dyDescent="0.3">
      <c r="A39" s="1146"/>
      <c r="B39" s="561" t="s">
        <v>401</v>
      </c>
      <c r="C39" s="571" t="s">
        <v>402</v>
      </c>
      <c r="D39" s="87" t="s">
        <v>523</v>
      </c>
      <c r="E39" s="37" t="s">
        <v>519</v>
      </c>
      <c r="F39" s="1310" t="s">
        <v>674</v>
      </c>
      <c r="G39" s="1310"/>
      <c r="H39" s="1311"/>
      <c r="I39" s="1082"/>
      <c r="J39" s="1082"/>
      <c r="K39" s="1082"/>
      <c r="L39" s="1310"/>
      <c r="M39" s="1310"/>
      <c r="N39" s="1310"/>
      <c r="O39" s="465"/>
      <c r="P39" s="465"/>
      <c r="Q39" s="518"/>
    </row>
    <row r="40" spans="1:17" s="6" customFormat="1" ht="45" customHeight="1" x14ac:dyDescent="0.3">
      <c r="A40" s="1144" t="s">
        <v>19</v>
      </c>
      <c r="B40" s="562" t="s">
        <v>403</v>
      </c>
      <c r="C40" s="572" t="s">
        <v>517</v>
      </c>
      <c r="D40" s="93" t="s">
        <v>515</v>
      </c>
      <c r="E40" s="358" t="s">
        <v>511</v>
      </c>
      <c r="F40" s="504">
        <v>1066</v>
      </c>
      <c r="G40" s="505">
        <v>2262</v>
      </c>
      <c r="H40" s="505">
        <v>3611</v>
      </c>
      <c r="I40" s="505"/>
      <c r="J40" s="505"/>
      <c r="K40" s="687"/>
      <c r="L40" s="467"/>
      <c r="M40" s="467"/>
      <c r="N40" s="467"/>
      <c r="O40" s="467"/>
      <c r="P40" s="467"/>
      <c r="Q40" s="540"/>
    </row>
    <row r="41" spans="1:17" s="6" customFormat="1" ht="45" customHeight="1" x14ac:dyDescent="0.3">
      <c r="A41" s="1145"/>
      <c r="B41" s="560" t="s">
        <v>403</v>
      </c>
      <c r="C41" s="570" t="s">
        <v>518</v>
      </c>
      <c r="D41" s="93" t="s">
        <v>516</v>
      </c>
      <c r="E41" s="359" t="s">
        <v>511</v>
      </c>
      <c r="F41" s="612">
        <v>2</v>
      </c>
      <c r="G41" s="507">
        <v>3</v>
      </c>
      <c r="H41" s="507">
        <v>5</v>
      </c>
      <c r="I41" s="507"/>
      <c r="J41" s="507"/>
      <c r="K41" s="688"/>
      <c r="L41" s="465"/>
      <c r="M41" s="465"/>
      <c r="N41" s="465"/>
      <c r="O41" s="465"/>
      <c r="P41" s="465"/>
      <c r="Q41" s="541"/>
    </row>
    <row r="42" spans="1:17" s="6" customFormat="1" ht="45.75" customHeight="1" x14ac:dyDescent="0.3">
      <c r="A42" s="1144" t="s">
        <v>48</v>
      </c>
      <c r="B42" s="562" t="s">
        <v>404</v>
      </c>
      <c r="C42" s="576" t="s">
        <v>600</v>
      </c>
      <c r="D42" s="223" t="s">
        <v>406</v>
      </c>
      <c r="E42" s="386" t="s">
        <v>601</v>
      </c>
      <c r="F42" s="1423"/>
      <c r="G42" s="1424"/>
      <c r="H42" s="1425"/>
      <c r="I42" s="1235"/>
      <c r="J42" s="1233"/>
      <c r="K42" s="1234"/>
      <c r="L42" s="1426"/>
      <c r="M42" s="1090"/>
      <c r="N42" s="1427"/>
      <c r="O42" s="1428"/>
      <c r="P42" s="1429"/>
      <c r="Q42" s="1430"/>
    </row>
    <row r="43" spans="1:17" s="6" customFormat="1" ht="45.75" customHeight="1" x14ac:dyDescent="0.3">
      <c r="A43" s="1145"/>
      <c r="B43" s="560" t="s">
        <v>602</v>
      </c>
      <c r="C43" s="577" t="s">
        <v>408</v>
      </c>
      <c r="D43" s="95" t="s">
        <v>604</v>
      </c>
      <c r="E43" s="387" t="s">
        <v>508</v>
      </c>
      <c r="F43" s="1431"/>
      <c r="G43" s="1432"/>
      <c r="H43" s="1432"/>
      <c r="I43" s="1432"/>
      <c r="J43" s="1432"/>
      <c r="K43" s="1432"/>
      <c r="L43" s="1432"/>
      <c r="M43" s="1432"/>
      <c r="N43" s="1432"/>
      <c r="O43" s="1432"/>
      <c r="P43" s="1432"/>
      <c r="Q43" s="1433"/>
    </row>
    <row r="44" spans="1:17" s="6" customFormat="1" ht="45.75" customHeight="1" x14ac:dyDescent="0.3">
      <c r="A44" s="1146"/>
      <c r="B44" s="561" t="s">
        <v>605</v>
      </c>
      <c r="C44" s="578" t="s">
        <v>606</v>
      </c>
      <c r="D44" s="226" t="s">
        <v>607</v>
      </c>
      <c r="E44" s="388" t="s">
        <v>513</v>
      </c>
      <c r="F44" s="1341"/>
      <c r="G44" s="1075"/>
      <c r="H44" s="1075"/>
      <c r="I44" s="1075"/>
      <c r="J44" s="1075"/>
      <c r="K44" s="1342"/>
      <c r="L44" s="1343"/>
      <c r="M44" s="1344"/>
      <c r="N44" s="1344"/>
      <c r="O44" s="1344"/>
      <c r="P44" s="1344"/>
      <c r="Q44" s="1345"/>
    </row>
    <row r="45" spans="1:17" s="6" customFormat="1" ht="56.25" customHeight="1" x14ac:dyDescent="0.3">
      <c r="A45" s="1144" t="s">
        <v>154</v>
      </c>
      <c r="B45" s="562" t="s">
        <v>413</v>
      </c>
      <c r="C45" s="572" t="s">
        <v>157</v>
      </c>
      <c r="D45" s="76" t="s">
        <v>353</v>
      </c>
      <c r="E45" s="36" t="s">
        <v>508</v>
      </c>
      <c r="F45" s="1422"/>
      <c r="G45" s="969"/>
      <c r="H45" s="969"/>
      <c r="I45" s="969"/>
      <c r="J45" s="969"/>
      <c r="K45" s="969"/>
      <c r="L45" s="969"/>
      <c r="M45" s="969"/>
      <c r="N45" s="969"/>
      <c r="O45" s="969"/>
      <c r="P45" s="969"/>
      <c r="Q45" s="1228"/>
    </row>
    <row r="46" spans="1:17" s="6" customFormat="1" ht="56.25" customHeight="1" x14ac:dyDescent="0.3">
      <c r="A46" s="1146"/>
      <c r="B46" s="561" t="s">
        <v>414</v>
      </c>
      <c r="C46" s="571" t="s">
        <v>415</v>
      </c>
      <c r="D46" s="87" t="s">
        <v>96</v>
      </c>
      <c r="E46" s="388" t="s">
        <v>513</v>
      </c>
      <c r="F46" s="1080"/>
      <c r="G46" s="1238"/>
      <c r="H46" s="1238"/>
      <c r="I46" s="1238"/>
      <c r="J46" s="1238"/>
      <c r="K46" s="1238"/>
      <c r="L46" s="1250"/>
      <c r="M46" s="1250"/>
      <c r="N46" s="1250"/>
      <c r="O46" s="1250"/>
      <c r="P46" s="1250"/>
      <c r="Q46" s="1253"/>
    </row>
    <row r="47" spans="1:17" s="6" customFormat="1" ht="40.5" customHeight="1" x14ac:dyDescent="0.3">
      <c r="A47" s="1144" t="s">
        <v>36</v>
      </c>
      <c r="B47" s="562" t="s">
        <v>416</v>
      </c>
      <c r="C47" s="570" t="s">
        <v>642</v>
      </c>
      <c r="D47" s="76" t="s">
        <v>571</v>
      </c>
      <c r="E47" s="36" t="s">
        <v>519</v>
      </c>
      <c r="F47" s="631">
        <v>0.98</v>
      </c>
      <c r="G47" s="537">
        <v>1</v>
      </c>
      <c r="H47" s="537">
        <v>1</v>
      </c>
      <c r="I47" s="470"/>
      <c r="J47" s="470"/>
      <c r="K47" s="470"/>
      <c r="L47" s="470"/>
      <c r="M47" s="470"/>
      <c r="N47" s="470"/>
      <c r="O47" s="470"/>
      <c r="P47" s="537"/>
      <c r="Q47" s="520"/>
    </row>
    <row r="48" spans="1:17" s="6" customFormat="1" ht="40.5" customHeight="1" x14ac:dyDescent="0.3">
      <c r="A48" s="1145"/>
      <c r="B48" s="560" t="s">
        <v>418</v>
      </c>
      <c r="C48" s="570" t="s">
        <v>642</v>
      </c>
      <c r="D48" s="77" t="s">
        <v>572</v>
      </c>
      <c r="E48" s="34" t="s">
        <v>519</v>
      </c>
      <c r="F48" s="632">
        <v>1</v>
      </c>
      <c r="G48" s="632">
        <v>1</v>
      </c>
      <c r="H48" s="632">
        <v>1</v>
      </c>
      <c r="I48" s="555"/>
      <c r="J48" s="555"/>
      <c r="K48" s="555"/>
      <c r="L48" s="555"/>
      <c r="M48" s="555"/>
      <c r="N48" s="555"/>
      <c r="O48" s="555"/>
      <c r="P48" s="538"/>
      <c r="Q48" s="556"/>
    </row>
    <row r="49" spans="1:17" s="6" customFormat="1" ht="40.5" customHeight="1" x14ac:dyDescent="0.3">
      <c r="A49" s="1145"/>
      <c r="B49" s="560" t="s">
        <v>417</v>
      </c>
      <c r="C49" s="570" t="s">
        <v>488</v>
      </c>
      <c r="D49" s="77" t="s">
        <v>573</v>
      </c>
      <c r="E49" s="162" t="s">
        <v>519</v>
      </c>
      <c r="F49" s="632">
        <v>0.88</v>
      </c>
      <c r="G49" s="538">
        <v>0.8</v>
      </c>
      <c r="H49" s="538">
        <v>0.93</v>
      </c>
      <c r="I49" s="555"/>
      <c r="J49" s="555"/>
      <c r="K49" s="538"/>
      <c r="L49" s="555"/>
      <c r="M49" s="555"/>
      <c r="N49" s="555"/>
      <c r="O49" s="555"/>
      <c r="P49" s="538"/>
      <c r="Q49" s="556"/>
    </row>
    <row r="50" spans="1:17" s="6" customFormat="1" ht="40.5" customHeight="1" x14ac:dyDescent="0.3">
      <c r="A50" s="1145"/>
      <c r="B50" s="560" t="s">
        <v>419</v>
      </c>
      <c r="C50" s="570" t="s">
        <v>488</v>
      </c>
      <c r="D50" s="77" t="s">
        <v>573</v>
      </c>
      <c r="E50" s="162" t="s">
        <v>519</v>
      </c>
      <c r="F50" s="632">
        <v>0.81</v>
      </c>
      <c r="G50" s="538">
        <v>0.82</v>
      </c>
      <c r="H50" s="538">
        <v>0.83</v>
      </c>
      <c r="I50" s="555"/>
      <c r="J50" s="555"/>
      <c r="K50" s="538"/>
      <c r="L50" s="555"/>
      <c r="M50" s="555"/>
      <c r="N50" s="555"/>
      <c r="O50" s="555"/>
      <c r="P50" s="538"/>
      <c r="Q50" s="556"/>
    </row>
    <row r="51" spans="1:17" s="6" customFormat="1" ht="40.5" customHeight="1" x14ac:dyDescent="0.3">
      <c r="A51" s="1145"/>
      <c r="B51" s="560" t="s">
        <v>420</v>
      </c>
      <c r="C51" s="570" t="s">
        <v>421</v>
      </c>
      <c r="D51" s="77" t="s">
        <v>398</v>
      </c>
      <c r="E51" s="162" t="s">
        <v>519</v>
      </c>
      <c r="F51" s="671">
        <v>-0.23</v>
      </c>
      <c r="G51" s="652">
        <v>-0.14000000000000001</v>
      </c>
      <c r="H51" s="538">
        <v>7.0000000000000007E-2</v>
      </c>
      <c r="I51" s="555"/>
      <c r="J51" s="555"/>
      <c r="K51" s="538"/>
      <c r="L51" s="555"/>
      <c r="M51" s="555"/>
      <c r="N51" s="555"/>
      <c r="O51" s="555"/>
      <c r="P51" s="538"/>
      <c r="Q51" s="556"/>
    </row>
    <row r="52" spans="1:17" s="6" customFormat="1" ht="40.5" customHeight="1" x14ac:dyDescent="0.3">
      <c r="A52" s="1145"/>
      <c r="B52" s="560" t="s">
        <v>525</v>
      </c>
      <c r="C52" s="570" t="s">
        <v>422</v>
      </c>
      <c r="D52" s="77" t="s">
        <v>398</v>
      </c>
      <c r="E52" s="162" t="s">
        <v>519</v>
      </c>
      <c r="F52" s="671">
        <v>-0.52</v>
      </c>
      <c r="G52" s="735">
        <v>0.25</v>
      </c>
      <c r="H52" s="538">
        <v>0.22</v>
      </c>
      <c r="I52" s="555"/>
      <c r="J52" s="555"/>
      <c r="K52" s="538"/>
      <c r="L52" s="555"/>
      <c r="M52" s="555"/>
      <c r="N52" s="555"/>
      <c r="O52" s="555"/>
      <c r="P52" s="538"/>
      <c r="Q52" s="556"/>
    </row>
    <row r="53" spans="1:17" s="6" customFormat="1" ht="40.5" customHeight="1" x14ac:dyDescent="0.3">
      <c r="A53" s="1145"/>
      <c r="B53" s="560" t="s">
        <v>620</v>
      </c>
      <c r="C53" s="617" t="s">
        <v>640</v>
      </c>
      <c r="D53" s="630">
        <v>11</v>
      </c>
      <c r="E53" s="162" t="s">
        <v>519</v>
      </c>
      <c r="F53" s="672">
        <v>6</v>
      </c>
      <c r="G53" s="673">
        <v>3</v>
      </c>
      <c r="H53" s="673">
        <v>8</v>
      </c>
      <c r="I53" s="672"/>
      <c r="J53" s="672"/>
      <c r="K53" s="672"/>
      <c r="L53" s="555"/>
      <c r="M53" s="555"/>
      <c r="N53" s="555"/>
      <c r="O53" s="555"/>
      <c r="P53" s="538"/>
      <c r="Q53" s="556"/>
    </row>
    <row r="54" spans="1:17" s="6" customFormat="1" ht="40.5" customHeight="1" x14ac:dyDescent="0.3">
      <c r="A54" s="1407"/>
      <c r="B54" s="560" t="s">
        <v>620</v>
      </c>
      <c r="C54" s="617" t="s">
        <v>641</v>
      </c>
      <c r="D54" s="630">
        <v>11</v>
      </c>
      <c r="E54" s="162" t="s">
        <v>519</v>
      </c>
      <c r="F54" s="674">
        <v>7</v>
      </c>
      <c r="G54" s="675">
        <v>10</v>
      </c>
      <c r="H54" s="675">
        <v>9</v>
      </c>
      <c r="I54" s="674"/>
      <c r="J54" s="674"/>
      <c r="K54" s="674"/>
      <c r="L54" s="585"/>
      <c r="M54" s="585"/>
      <c r="N54" s="585"/>
      <c r="O54" s="585"/>
      <c r="P54" s="586"/>
      <c r="Q54" s="587"/>
    </row>
    <row r="55" spans="1:17" s="6" customFormat="1" ht="40.5" customHeight="1" x14ac:dyDescent="0.3">
      <c r="A55" s="1146"/>
      <c r="B55" s="561" t="s">
        <v>425</v>
      </c>
      <c r="C55" s="571" t="s">
        <v>426</v>
      </c>
      <c r="D55" s="584">
        <v>1</v>
      </c>
      <c r="E55" s="257" t="s">
        <v>519</v>
      </c>
      <c r="F55" s="633">
        <v>1</v>
      </c>
      <c r="G55" s="539">
        <v>1</v>
      </c>
      <c r="H55" s="539">
        <v>1</v>
      </c>
      <c r="I55" s="472"/>
      <c r="J55" s="472"/>
      <c r="K55" s="472"/>
      <c r="L55" s="472"/>
      <c r="M55" s="472"/>
      <c r="N55" s="472"/>
      <c r="O55" s="472"/>
      <c r="P55" s="539"/>
      <c r="Q55" s="521"/>
    </row>
    <row r="56" spans="1:17" ht="49.5" customHeight="1" x14ac:dyDescent="0.3">
      <c r="A56" s="522" t="s">
        <v>134</v>
      </c>
      <c r="B56" s="565" t="s">
        <v>427</v>
      </c>
      <c r="C56" s="579" t="s">
        <v>428</v>
      </c>
      <c r="D56" s="267" t="s">
        <v>406</v>
      </c>
      <c r="E56" s="363" t="s">
        <v>508</v>
      </c>
      <c r="F56" s="1328"/>
      <c r="G56" s="1329"/>
      <c r="H56" s="1329"/>
      <c r="I56" s="1329"/>
      <c r="J56" s="1329"/>
      <c r="K56" s="1329"/>
      <c r="L56" s="1329"/>
      <c r="M56" s="1329"/>
      <c r="N56" s="1329"/>
      <c r="O56" s="1329"/>
      <c r="P56" s="1329"/>
      <c r="Q56" s="1330"/>
    </row>
    <row r="57" spans="1:17" s="6" customFormat="1" ht="42" customHeight="1" x14ac:dyDescent="0.3">
      <c r="A57" s="1144" t="s">
        <v>254</v>
      </c>
      <c r="B57" s="562" t="s">
        <v>429</v>
      </c>
      <c r="C57" s="572" t="s">
        <v>430</v>
      </c>
      <c r="D57" s="76" t="s">
        <v>431</v>
      </c>
      <c r="E57" s="243" t="s">
        <v>519</v>
      </c>
      <c r="F57" s="702">
        <v>6.7245370370370367E-3</v>
      </c>
      <c r="G57" s="628">
        <v>7.1296296296296299E-3</v>
      </c>
      <c r="H57" s="628">
        <v>8.5416666666666662E-3</v>
      </c>
      <c r="I57" s="502"/>
      <c r="J57" s="501"/>
      <c r="K57" s="437"/>
      <c r="L57" s="511"/>
      <c r="M57" s="511"/>
      <c r="N57" s="511"/>
      <c r="O57" s="511"/>
      <c r="P57" s="511"/>
      <c r="Q57" s="704"/>
    </row>
    <row r="58" spans="1:17" s="6" customFormat="1" ht="42" customHeight="1" x14ac:dyDescent="0.3">
      <c r="A58" s="1145"/>
      <c r="B58" s="560" t="s">
        <v>429</v>
      </c>
      <c r="C58" s="570" t="s">
        <v>432</v>
      </c>
      <c r="D58" s="77" t="s">
        <v>433</v>
      </c>
      <c r="E58" s="162" t="s">
        <v>519</v>
      </c>
      <c r="F58" s="703">
        <v>1.0300925925925925E-2</v>
      </c>
      <c r="G58" s="629">
        <v>1.3078703703703703E-2</v>
      </c>
      <c r="H58" s="629">
        <v>1.0844907407407407E-2</v>
      </c>
      <c r="I58" s="482"/>
      <c r="J58" s="443"/>
      <c r="K58" s="435"/>
      <c r="L58" s="512"/>
      <c r="M58" s="512"/>
      <c r="N58" s="512"/>
      <c r="O58" s="512"/>
      <c r="P58" s="512"/>
      <c r="Q58" s="705"/>
    </row>
    <row r="59" spans="1:17" s="6" customFormat="1" ht="45.75" customHeight="1" x14ac:dyDescent="0.3">
      <c r="A59" s="1146"/>
      <c r="B59" s="561" t="s">
        <v>434</v>
      </c>
      <c r="C59" s="619" t="s">
        <v>637</v>
      </c>
      <c r="D59" s="620" t="s">
        <v>621</v>
      </c>
      <c r="E59" s="257" t="s">
        <v>675</v>
      </c>
      <c r="F59" s="1331"/>
      <c r="G59" s="1332"/>
      <c r="H59" s="1332"/>
      <c r="I59" s="1332"/>
      <c r="J59" s="1332"/>
      <c r="K59" s="1333"/>
      <c r="L59" s="1443"/>
      <c r="M59" s="1444"/>
      <c r="N59" s="1444"/>
      <c r="O59" s="1444"/>
      <c r="P59" s="1444"/>
      <c r="Q59" s="1445"/>
    </row>
    <row r="60" spans="1:17" s="6" customFormat="1" ht="71.25" customHeight="1" x14ac:dyDescent="0.3">
      <c r="A60" s="1199" t="s">
        <v>253</v>
      </c>
      <c r="B60" s="560" t="s">
        <v>626</v>
      </c>
      <c r="C60" s="621" t="s">
        <v>622</v>
      </c>
      <c r="D60" s="618" t="s">
        <v>623</v>
      </c>
      <c r="E60" s="37" t="s">
        <v>512</v>
      </c>
      <c r="F60" s="1295">
        <f>4771/5958</f>
        <v>0.80077207116482041</v>
      </c>
      <c r="G60" s="1296"/>
      <c r="H60" s="1297"/>
      <c r="I60" s="1312"/>
      <c r="J60" s="1313"/>
      <c r="K60" s="1314"/>
      <c r="L60" s="1315"/>
      <c r="M60" s="1316"/>
      <c r="N60" s="1317"/>
      <c r="O60" s="1295"/>
      <c r="P60" s="1296"/>
      <c r="Q60" s="1321"/>
    </row>
    <row r="61" spans="1:17" s="6" customFormat="1" ht="89.25" customHeight="1" x14ac:dyDescent="0.3">
      <c r="A61" s="1200"/>
      <c r="B61" s="608" t="s">
        <v>627</v>
      </c>
      <c r="C61" s="622" t="s">
        <v>624</v>
      </c>
      <c r="D61" s="623" t="s">
        <v>625</v>
      </c>
      <c r="E61" s="44" t="s">
        <v>512</v>
      </c>
      <c r="F61" s="1298">
        <v>0.94</v>
      </c>
      <c r="G61" s="1299"/>
      <c r="H61" s="1300"/>
      <c r="I61" s="1298"/>
      <c r="J61" s="1299"/>
      <c r="K61" s="1300"/>
      <c r="L61" s="1318"/>
      <c r="M61" s="1319"/>
      <c r="N61" s="1320"/>
      <c r="O61" s="1298"/>
      <c r="P61" s="1299"/>
      <c r="Q61" s="1301"/>
    </row>
    <row r="62" spans="1:17" s="6" customFormat="1" ht="45" customHeight="1" x14ac:dyDescent="0.3">
      <c r="A62" s="1200"/>
      <c r="B62" s="566" t="s">
        <v>434</v>
      </c>
      <c r="C62" s="619" t="s">
        <v>628</v>
      </c>
      <c r="D62" s="620" t="s">
        <v>647</v>
      </c>
      <c r="E62" s="44" t="s">
        <v>512</v>
      </c>
      <c r="F62" s="1436">
        <v>3.78</v>
      </c>
      <c r="G62" s="1437"/>
      <c r="H62" s="1438"/>
      <c r="I62" s="1439"/>
      <c r="J62" s="1440"/>
      <c r="K62" s="1441"/>
      <c r="L62" s="1436"/>
      <c r="M62" s="1437"/>
      <c r="N62" s="1438"/>
      <c r="O62" s="1436"/>
      <c r="P62" s="1437"/>
      <c r="Q62" s="1442"/>
    </row>
    <row r="63" spans="1:17" s="6" customFormat="1" ht="45" customHeight="1" x14ac:dyDescent="0.3">
      <c r="A63" s="1200"/>
      <c r="B63" s="1322" t="s">
        <v>646</v>
      </c>
      <c r="C63" s="624" t="s">
        <v>648</v>
      </c>
      <c r="D63" s="625" t="s">
        <v>649</v>
      </c>
      <c r="E63" s="44" t="s">
        <v>512</v>
      </c>
      <c r="F63" s="1436">
        <v>4.46</v>
      </c>
      <c r="G63" s="1437"/>
      <c r="H63" s="1438"/>
      <c r="I63" s="1439"/>
      <c r="J63" s="1440"/>
      <c r="K63" s="1441"/>
      <c r="L63" s="1436"/>
      <c r="M63" s="1437"/>
      <c r="N63" s="1438"/>
      <c r="O63" s="1436"/>
      <c r="P63" s="1437"/>
      <c r="Q63" s="1442"/>
    </row>
    <row r="64" spans="1:17" s="6" customFormat="1" ht="45" customHeight="1" x14ac:dyDescent="0.3">
      <c r="A64" s="1200"/>
      <c r="B64" s="1434"/>
      <c r="C64" s="624" t="s">
        <v>645</v>
      </c>
      <c r="D64" s="625" t="s">
        <v>650</v>
      </c>
      <c r="E64" s="44" t="s">
        <v>512</v>
      </c>
      <c r="F64" s="1436">
        <v>3.86</v>
      </c>
      <c r="G64" s="1437"/>
      <c r="H64" s="1438"/>
      <c r="I64" s="712"/>
      <c r="J64" s="713"/>
      <c r="K64" s="713"/>
      <c r="L64" s="710"/>
      <c r="M64" s="711"/>
      <c r="N64" s="711"/>
      <c r="O64" s="710"/>
      <c r="P64" s="711"/>
      <c r="Q64" s="714"/>
    </row>
    <row r="65" spans="1:17" s="6" customFormat="1" ht="45" customHeight="1" x14ac:dyDescent="0.3">
      <c r="A65" s="1435"/>
      <c r="B65" s="715" t="s">
        <v>667</v>
      </c>
      <c r="C65" s="624" t="s">
        <v>668</v>
      </c>
      <c r="D65" s="625" t="s">
        <v>669</v>
      </c>
      <c r="E65" s="44" t="s">
        <v>512</v>
      </c>
      <c r="F65" s="1324" t="s">
        <v>670</v>
      </c>
      <c r="G65" s="1325"/>
      <c r="H65" s="1326"/>
      <c r="I65" s="1324"/>
      <c r="J65" s="1325"/>
      <c r="K65" s="1326"/>
      <c r="L65" s="1324"/>
      <c r="M65" s="1325"/>
      <c r="N65" s="1326"/>
      <c r="O65" s="1324"/>
      <c r="P65" s="1325"/>
      <c r="Q65" s="1327"/>
    </row>
    <row r="66" spans="1:17" s="6" customFormat="1" ht="48" customHeight="1" x14ac:dyDescent="0.3">
      <c r="A66" s="1144" t="s">
        <v>31</v>
      </c>
      <c r="B66" s="562" t="s">
        <v>449</v>
      </c>
      <c r="C66" s="621" t="s">
        <v>450</v>
      </c>
      <c r="D66" s="626" t="s">
        <v>659</v>
      </c>
      <c r="E66" s="243" t="s">
        <v>511</v>
      </c>
      <c r="F66" s="676">
        <v>6.3200000000000006E-2</v>
      </c>
      <c r="G66" s="683">
        <v>6.6900000000000001E-2</v>
      </c>
      <c r="H66" s="677">
        <v>7.4099999999999999E-2</v>
      </c>
      <c r="I66" s="677"/>
      <c r="J66" s="341"/>
      <c r="K66" s="341"/>
      <c r="L66" s="341"/>
      <c r="M66" s="341"/>
      <c r="N66" s="634"/>
      <c r="O66" s="634"/>
      <c r="P66" s="634"/>
      <c r="Q66" s="700"/>
    </row>
    <row r="67" spans="1:17" s="6" customFormat="1" ht="48" customHeight="1" x14ac:dyDescent="0.3">
      <c r="A67" s="1145"/>
      <c r="B67" s="560" t="s">
        <v>544</v>
      </c>
      <c r="C67" s="617" t="s">
        <v>629</v>
      </c>
      <c r="D67" s="618" t="s">
        <v>96</v>
      </c>
      <c r="E67" s="593" t="s">
        <v>655</v>
      </c>
      <c r="F67" s="1306">
        <v>0.57999999999999996</v>
      </c>
      <c r="G67" s="1307"/>
      <c r="H67" s="1307"/>
      <c r="I67" s="708"/>
      <c r="J67" s="708"/>
      <c r="K67" s="708"/>
      <c r="L67" s="708"/>
      <c r="M67" s="708"/>
      <c r="N67" s="708"/>
      <c r="O67" s="708"/>
      <c r="P67" s="708"/>
      <c r="Q67" s="709"/>
    </row>
    <row r="68" spans="1:17" s="6" customFormat="1" ht="48" customHeight="1" x14ac:dyDescent="0.3">
      <c r="A68" s="1145"/>
      <c r="B68" s="560" t="s">
        <v>453</v>
      </c>
      <c r="C68" s="617" t="s">
        <v>638</v>
      </c>
      <c r="D68" s="618" t="s">
        <v>660</v>
      </c>
      <c r="E68" s="34" t="s">
        <v>508</v>
      </c>
      <c r="F68" s="1281"/>
      <c r="G68" s="1282"/>
      <c r="H68" s="1282"/>
      <c r="I68" s="1282"/>
      <c r="J68" s="1282"/>
      <c r="K68" s="1282"/>
      <c r="L68" s="1282"/>
      <c r="M68" s="1282"/>
      <c r="N68" s="1282"/>
      <c r="O68" s="1282"/>
      <c r="P68" s="1282"/>
      <c r="Q68" s="1283"/>
    </row>
    <row r="69" spans="1:17" s="6" customFormat="1" ht="42.75" customHeight="1" x14ac:dyDescent="0.3">
      <c r="A69" s="1144" t="s">
        <v>17</v>
      </c>
      <c r="B69" s="562" t="s">
        <v>458</v>
      </c>
      <c r="C69" s="621" t="s">
        <v>459</v>
      </c>
      <c r="D69" s="627" t="s">
        <v>630</v>
      </c>
      <c r="E69" s="351" t="s">
        <v>511</v>
      </c>
      <c r="F69" s="12">
        <v>0</v>
      </c>
      <c r="G69" s="12">
        <v>0</v>
      </c>
      <c r="H69" s="12">
        <v>0</v>
      </c>
      <c r="I69" s="395"/>
      <c r="J69" s="12"/>
      <c r="K69" s="12"/>
      <c r="L69" s="12"/>
      <c r="M69" s="12"/>
      <c r="N69" s="12"/>
      <c r="O69" s="12"/>
      <c r="P69" s="12"/>
      <c r="Q69" s="550"/>
    </row>
    <row r="70" spans="1:17" s="6" customFormat="1" ht="42.75" customHeight="1" x14ac:dyDescent="0.3">
      <c r="A70" s="1146"/>
      <c r="B70" s="561" t="s">
        <v>461</v>
      </c>
      <c r="C70" s="571" t="s">
        <v>462</v>
      </c>
      <c r="D70" s="161" t="s">
        <v>631</v>
      </c>
      <c r="E70" s="354" t="s">
        <v>511</v>
      </c>
      <c r="F70" s="8">
        <v>0</v>
      </c>
      <c r="G70" s="8">
        <v>0</v>
      </c>
      <c r="H70" s="8">
        <v>0</v>
      </c>
      <c r="I70" s="542"/>
      <c r="J70" s="8"/>
      <c r="K70" s="8"/>
      <c r="L70" s="8"/>
      <c r="M70" s="8"/>
      <c r="N70" s="8"/>
      <c r="O70" s="8"/>
      <c r="P70" s="8"/>
      <c r="Q70" s="701"/>
    </row>
    <row r="71" spans="1:17" s="6" customFormat="1" ht="44.25" customHeight="1" x14ac:dyDescent="0.3">
      <c r="A71" s="1144" t="s">
        <v>1</v>
      </c>
      <c r="B71" s="562" t="s">
        <v>464</v>
      </c>
      <c r="C71" s="572" t="s">
        <v>465</v>
      </c>
      <c r="D71" s="76" t="s">
        <v>466</v>
      </c>
      <c r="E71" s="36" t="s">
        <v>513</v>
      </c>
      <c r="F71" s="1112"/>
      <c r="G71" s="1270"/>
      <c r="H71" s="1270"/>
      <c r="I71" s="1270"/>
      <c r="J71" s="1270"/>
      <c r="K71" s="1270"/>
      <c r="L71" s="969"/>
      <c r="M71" s="969"/>
      <c r="N71" s="969"/>
      <c r="O71" s="969"/>
      <c r="P71" s="969"/>
      <c r="Q71" s="1228"/>
    </row>
    <row r="72" spans="1:17" s="6" customFormat="1" ht="44.25" customHeight="1" x14ac:dyDescent="0.3">
      <c r="A72" s="1146"/>
      <c r="B72" s="561" t="s">
        <v>467</v>
      </c>
      <c r="C72" s="571" t="s">
        <v>468</v>
      </c>
      <c r="D72" s="87" t="s">
        <v>469</v>
      </c>
      <c r="E72" s="37" t="s">
        <v>508</v>
      </c>
      <c r="F72" s="1240"/>
      <c r="G72" s="1241"/>
      <c r="H72" s="1241"/>
      <c r="I72" s="1241"/>
      <c r="J72" s="1241"/>
      <c r="K72" s="1241"/>
      <c r="L72" s="1241"/>
      <c r="M72" s="1241"/>
      <c r="N72" s="1241"/>
      <c r="O72" s="1241"/>
      <c r="P72" s="1241"/>
      <c r="Q72" s="1242"/>
    </row>
    <row r="73" spans="1:17" s="6" customFormat="1" ht="45" customHeight="1" x14ac:dyDescent="0.3">
      <c r="A73" s="1144" t="s">
        <v>412</v>
      </c>
      <c r="B73" s="562" t="s">
        <v>470</v>
      </c>
      <c r="C73" s="570" t="s">
        <v>632</v>
      </c>
      <c r="D73" s="77" t="s">
        <v>96</v>
      </c>
      <c r="E73" s="36" t="s">
        <v>655</v>
      </c>
      <c r="F73" s="634">
        <v>0</v>
      </c>
      <c r="G73" s="634">
        <v>1</v>
      </c>
      <c r="H73" s="634">
        <v>0</v>
      </c>
      <c r="I73" s="600"/>
      <c r="J73" s="12"/>
      <c r="K73" s="600"/>
      <c r="L73" s="12"/>
      <c r="M73" s="12"/>
      <c r="N73" s="689"/>
      <c r="O73" s="395"/>
      <c r="P73" s="395"/>
      <c r="Q73" s="550"/>
    </row>
    <row r="74" spans="1:17" s="6" customFormat="1" ht="45" customHeight="1" x14ac:dyDescent="0.3">
      <c r="A74" s="1145"/>
      <c r="B74" s="560" t="s">
        <v>473</v>
      </c>
      <c r="C74" s="570" t="s">
        <v>474</v>
      </c>
      <c r="D74" s="77" t="s">
        <v>406</v>
      </c>
      <c r="E74" s="34" t="s">
        <v>512</v>
      </c>
      <c r="F74" s="1371">
        <v>1</v>
      </c>
      <c r="G74" s="1053"/>
      <c r="H74" s="1054"/>
      <c r="I74" s="1049"/>
      <c r="J74" s="972"/>
      <c r="K74" s="972"/>
      <c r="L74" s="1049"/>
      <c r="M74" s="972"/>
      <c r="N74" s="972"/>
      <c r="O74" s="1049"/>
      <c r="P74" s="972"/>
      <c r="Q74" s="1271"/>
    </row>
    <row r="75" spans="1:17" s="6" customFormat="1" ht="45" customHeight="1" x14ac:dyDescent="0.3">
      <c r="A75" s="1145"/>
      <c r="B75" s="560" t="s">
        <v>475</v>
      </c>
      <c r="C75" s="570" t="s">
        <v>189</v>
      </c>
      <c r="D75" s="329">
        <v>1</v>
      </c>
      <c r="E75" s="34" t="s">
        <v>672</v>
      </c>
      <c r="F75" s="1054">
        <v>1</v>
      </c>
      <c r="G75" s="972"/>
      <c r="H75" s="972"/>
      <c r="I75" s="972"/>
      <c r="J75" s="972"/>
      <c r="K75" s="972"/>
      <c r="L75" s="972"/>
      <c r="M75" s="972"/>
      <c r="N75" s="972"/>
      <c r="O75" s="972"/>
      <c r="P75" s="972"/>
      <c r="Q75" s="1271"/>
    </row>
    <row r="76" spans="1:17" s="6" customFormat="1" ht="45" customHeight="1" x14ac:dyDescent="0.3">
      <c r="A76" s="1146"/>
      <c r="B76" s="561" t="s">
        <v>476</v>
      </c>
      <c r="C76" s="571" t="s">
        <v>190</v>
      </c>
      <c r="D76" s="584">
        <v>1</v>
      </c>
      <c r="E76" s="37" t="s">
        <v>672</v>
      </c>
      <c r="F76" s="1058">
        <v>0.75</v>
      </c>
      <c r="G76" s="1309"/>
      <c r="H76" s="1309"/>
      <c r="I76" s="1309"/>
      <c r="J76" s="1309"/>
      <c r="K76" s="1309"/>
      <c r="L76" s="1309"/>
      <c r="M76" s="1309"/>
      <c r="N76" s="1309"/>
      <c r="O76" s="1309"/>
      <c r="P76" s="1309"/>
      <c r="Q76" s="1446"/>
    </row>
    <row r="77" spans="1:17" s="6" customFormat="1" ht="28.8" x14ac:dyDescent="0.3">
      <c r="A77" s="1199" t="s">
        <v>56</v>
      </c>
      <c r="B77" s="1263" t="s">
        <v>526</v>
      </c>
      <c r="C77" s="588" t="s">
        <v>639</v>
      </c>
      <c r="D77" s="367">
        <v>0.95</v>
      </c>
      <c r="E77" s="76" t="s">
        <v>519</v>
      </c>
      <c r="F77" s="634">
        <v>1</v>
      </c>
      <c r="G77" s="634">
        <v>1</v>
      </c>
      <c r="H77" s="634">
        <v>1</v>
      </c>
      <c r="I77" s="341"/>
      <c r="J77" s="341"/>
      <c r="K77" s="341"/>
      <c r="L77" s="383"/>
      <c r="M77" s="383"/>
      <c r="N77" s="383"/>
      <c r="O77" s="383"/>
      <c r="P77" s="383"/>
      <c r="Q77" s="700"/>
    </row>
    <row r="78" spans="1:17" s="6" customFormat="1" ht="53.25" customHeight="1" x14ac:dyDescent="0.3">
      <c r="A78" s="1200"/>
      <c r="B78" s="1264"/>
      <c r="C78" s="580" t="s">
        <v>633</v>
      </c>
      <c r="D78" s="329">
        <v>0.95</v>
      </c>
      <c r="E78" s="77" t="s">
        <v>512</v>
      </c>
      <c r="F78" s="1265">
        <v>1</v>
      </c>
      <c r="G78" s="1266"/>
      <c r="H78" s="1267"/>
      <c r="I78" s="1138"/>
      <c r="J78" s="1136"/>
      <c r="K78" s="1137"/>
      <c r="L78" s="1044"/>
      <c r="M78" s="1053"/>
      <c r="N78" s="1054"/>
      <c r="O78" s="1028"/>
      <c r="P78" s="1028"/>
      <c r="Q78" s="1260"/>
    </row>
    <row r="79" spans="1:17" s="6" customFormat="1" ht="53.25" customHeight="1" x14ac:dyDescent="0.3">
      <c r="A79" s="1200"/>
      <c r="B79" s="1277" t="s">
        <v>635</v>
      </c>
      <c r="C79" s="328" t="s">
        <v>531</v>
      </c>
      <c r="D79" s="329">
        <v>0.95</v>
      </c>
      <c r="E79" s="77" t="s">
        <v>519</v>
      </c>
      <c r="F79" s="547">
        <v>1</v>
      </c>
      <c r="G79" s="547">
        <v>1</v>
      </c>
      <c r="H79" s="547">
        <v>1</v>
      </c>
      <c r="I79" s="383"/>
      <c r="J79" s="383"/>
      <c r="K79" s="383"/>
      <c r="L79" s="383"/>
      <c r="M79" s="383"/>
      <c r="N79" s="383"/>
      <c r="O79" s="693"/>
      <c r="P79" s="693"/>
      <c r="Q79" s="694"/>
    </row>
    <row r="80" spans="1:17" s="6" customFormat="1" ht="30" customHeight="1" x14ac:dyDescent="0.3">
      <c r="A80" s="1200"/>
      <c r="B80" s="1278"/>
      <c r="C80" s="580" t="s">
        <v>576</v>
      </c>
      <c r="D80" s="589"/>
      <c r="E80" s="590"/>
      <c r="F80" s="547"/>
      <c r="G80" s="547"/>
      <c r="H80" s="547"/>
      <c r="I80" s="383"/>
      <c r="J80" s="383"/>
      <c r="K80" s="383"/>
      <c r="L80" s="383"/>
      <c r="M80" s="383"/>
      <c r="N80" s="383"/>
      <c r="O80" s="545"/>
      <c r="P80" s="545"/>
      <c r="Q80" s="546"/>
    </row>
    <row r="81" spans="1:17" s="6" customFormat="1" ht="47.25" customHeight="1" x14ac:dyDescent="0.3">
      <c r="A81" s="1200"/>
      <c r="B81" s="1278"/>
      <c r="C81" s="581" t="s">
        <v>532</v>
      </c>
      <c r="D81" s="122">
        <v>0.95</v>
      </c>
      <c r="E81" s="77" t="s">
        <v>519</v>
      </c>
      <c r="F81" s="547">
        <v>1</v>
      </c>
      <c r="G81" s="547">
        <v>1</v>
      </c>
      <c r="H81" s="547">
        <v>1</v>
      </c>
      <c r="I81" s="383"/>
      <c r="J81" s="383"/>
      <c r="K81" s="383"/>
      <c r="L81" s="383"/>
      <c r="M81" s="383"/>
      <c r="N81" s="695"/>
      <c r="O81" s="696"/>
      <c r="P81" s="696"/>
      <c r="Q81" s="697"/>
    </row>
    <row r="82" spans="1:17" s="6" customFormat="1" ht="47.25" customHeight="1" x14ac:dyDescent="0.3">
      <c r="A82" s="1200"/>
      <c r="B82" s="1278"/>
      <c r="C82" s="582" t="s">
        <v>533</v>
      </c>
      <c r="D82" s="122">
        <v>0.9</v>
      </c>
      <c r="E82" s="77" t="s">
        <v>519</v>
      </c>
      <c r="F82" s="547">
        <v>1</v>
      </c>
      <c r="G82" s="547">
        <v>1</v>
      </c>
      <c r="H82" s="547">
        <v>1</v>
      </c>
      <c r="I82" s="377"/>
      <c r="J82" s="377"/>
      <c r="K82" s="377"/>
      <c r="L82" s="605"/>
      <c r="M82" s="377"/>
      <c r="N82" s="695"/>
      <c r="O82" s="698"/>
      <c r="P82" s="698"/>
      <c r="Q82" s="699"/>
    </row>
    <row r="83" spans="1:17" s="6" customFormat="1" ht="47.25" customHeight="1" x14ac:dyDescent="0.3">
      <c r="A83" s="1200"/>
      <c r="B83" s="1278"/>
      <c r="C83" s="582" t="s">
        <v>534</v>
      </c>
      <c r="D83" s="122">
        <v>0.8</v>
      </c>
      <c r="E83" s="77" t="s">
        <v>519</v>
      </c>
      <c r="F83" s="605">
        <v>0.99</v>
      </c>
      <c r="G83" s="605">
        <v>0.97789999999999999</v>
      </c>
      <c r="H83" s="383">
        <v>1</v>
      </c>
      <c r="I83" s="383"/>
      <c r="J83" s="383"/>
      <c r="K83" s="383"/>
      <c r="L83" s="605"/>
      <c r="M83" s="605"/>
      <c r="N83" s="695"/>
      <c r="O83" s="698"/>
      <c r="P83" s="698"/>
      <c r="Q83" s="699"/>
    </row>
    <row r="84" spans="1:17" ht="47.25" customHeight="1" x14ac:dyDescent="0.3">
      <c r="A84" s="1200"/>
      <c r="B84" s="1279"/>
      <c r="C84" s="582" t="s">
        <v>535</v>
      </c>
      <c r="D84" s="122">
        <v>0.75</v>
      </c>
      <c r="E84" s="77" t="s">
        <v>519</v>
      </c>
      <c r="F84" s="383">
        <v>0.96</v>
      </c>
      <c r="G84" s="383">
        <v>1</v>
      </c>
      <c r="H84" s="383">
        <v>0.94199999999999995</v>
      </c>
      <c r="I84" s="383"/>
      <c r="J84" s="383"/>
      <c r="K84" s="383"/>
      <c r="L84" s="605"/>
      <c r="M84" s="690"/>
      <c r="N84" s="695"/>
      <c r="O84" s="698"/>
      <c r="P84" s="698"/>
      <c r="Q84" s="699"/>
    </row>
    <row r="85" spans="1:17" ht="67.5" customHeight="1" x14ac:dyDescent="0.3">
      <c r="A85" s="1200"/>
      <c r="B85" s="567" t="s">
        <v>479</v>
      </c>
      <c r="C85" s="580" t="s">
        <v>536</v>
      </c>
      <c r="D85" s="331" t="s">
        <v>537</v>
      </c>
      <c r="E85" s="77" t="s">
        <v>519</v>
      </c>
      <c r="F85" s="333">
        <v>0</v>
      </c>
      <c r="G85" s="333">
        <v>0</v>
      </c>
      <c r="H85" s="333">
        <v>0</v>
      </c>
      <c r="I85" s="333"/>
      <c r="J85" s="503"/>
      <c r="K85" s="333"/>
      <c r="L85" s="503"/>
      <c r="M85" s="333"/>
      <c r="N85" s="695"/>
      <c r="O85" s="698"/>
      <c r="P85" s="698"/>
      <c r="Q85" s="699"/>
    </row>
    <row r="86" spans="1:17" ht="72" customHeight="1" x14ac:dyDescent="0.3">
      <c r="A86" s="1200"/>
      <c r="B86" s="567" t="s">
        <v>477</v>
      </c>
      <c r="C86" s="580" t="s">
        <v>536</v>
      </c>
      <c r="D86" s="331" t="s">
        <v>636</v>
      </c>
      <c r="E86" s="77" t="s">
        <v>519</v>
      </c>
      <c r="F86" s="333">
        <v>0</v>
      </c>
      <c r="G86" s="333">
        <v>0</v>
      </c>
      <c r="H86" s="333">
        <v>0</v>
      </c>
      <c r="I86" s="333"/>
      <c r="J86" s="503"/>
      <c r="K86" s="333"/>
      <c r="L86" s="333"/>
      <c r="M86" s="333"/>
      <c r="N86" s="333"/>
      <c r="O86" s="333"/>
      <c r="P86" s="333"/>
      <c r="Q86" s="603"/>
    </row>
    <row r="87" spans="1:17" ht="46.5" customHeight="1" x14ac:dyDescent="0.3">
      <c r="A87" s="1200"/>
      <c r="B87" s="1264" t="s">
        <v>538</v>
      </c>
      <c r="C87" s="580" t="s">
        <v>478</v>
      </c>
      <c r="D87" s="389">
        <v>0</v>
      </c>
      <c r="E87" s="77" t="s">
        <v>519</v>
      </c>
      <c r="F87" s="5">
        <v>0</v>
      </c>
      <c r="G87" s="5">
        <v>0</v>
      </c>
      <c r="H87" s="5">
        <v>0</v>
      </c>
      <c r="I87" s="5"/>
      <c r="J87" s="5"/>
      <c r="K87" s="5"/>
      <c r="L87" s="5"/>
      <c r="M87" s="5"/>
      <c r="N87" s="5"/>
      <c r="O87" s="5"/>
      <c r="P87" s="5"/>
      <c r="Q87" s="553"/>
    </row>
    <row r="88" spans="1:17" ht="48" customHeight="1" thickBot="1" x14ac:dyDescent="0.35">
      <c r="A88" s="1201"/>
      <c r="B88" s="1269"/>
      <c r="C88" s="583" t="s">
        <v>634</v>
      </c>
      <c r="D88" s="526" t="s">
        <v>540</v>
      </c>
      <c r="E88" s="527" t="s">
        <v>512</v>
      </c>
      <c r="F88" s="1182">
        <v>0</v>
      </c>
      <c r="G88" s="1183"/>
      <c r="H88" s="1184"/>
      <c r="I88" s="1182"/>
      <c r="J88" s="1183"/>
      <c r="K88" s="1184"/>
      <c r="L88" s="1182"/>
      <c r="M88" s="1183"/>
      <c r="N88" s="1184"/>
      <c r="O88" s="1182"/>
      <c r="P88" s="1183"/>
      <c r="Q88" s="1272"/>
    </row>
    <row r="89" spans="1:17" ht="30.75" customHeight="1" x14ac:dyDescent="0.3"/>
    <row r="90" spans="1:17" ht="30.75" customHeight="1" x14ac:dyDescent="0.3"/>
    <row r="91" spans="1:17" ht="30.75" customHeight="1" x14ac:dyDescent="0.3"/>
    <row r="92" spans="1:17" ht="30.75" customHeight="1" x14ac:dyDescent="0.3"/>
    <row r="93" spans="1:17" ht="30.75" customHeight="1" x14ac:dyDescent="0.3"/>
    <row r="94" spans="1:17" ht="30.75" customHeight="1" x14ac:dyDescent="0.3"/>
    <row r="95" spans="1:17" ht="30.75" customHeight="1" x14ac:dyDescent="0.3"/>
    <row r="96" spans="1:17" ht="30.75" customHeight="1" x14ac:dyDescent="0.3"/>
    <row r="97" ht="30.75" customHeight="1" x14ac:dyDescent="0.3"/>
    <row r="98" ht="30.75" customHeight="1" x14ac:dyDescent="0.3"/>
    <row r="99" ht="30.75" customHeight="1" x14ac:dyDescent="0.3"/>
    <row r="100" ht="30.75" customHeight="1" x14ac:dyDescent="0.3"/>
    <row r="101" ht="30.75" customHeight="1" x14ac:dyDescent="0.3"/>
    <row r="102" ht="30.75" customHeight="1" x14ac:dyDescent="0.3"/>
    <row r="103" ht="30.75" customHeight="1" x14ac:dyDescent="0.3"/>
    <row r="104" ht="30.75" customHeight="1" x14ac:dyDescent="0.3"/>
    <row r="105" ht="30.75" customHeight="1" x14ac:dyDescent="0.3"/>
    <row r="106" ht="30.75" customHeight="1" x14ac:dyDescent="0.3"/>
    <row r="107" ht="30.75" customHeight="1" x14ac:dyDescent="0.3"/>
    <row r="108" ht="30.75" customHeight="1" x14ac:dyDescent="0.3"/>
    <row r="109" ht="30.75" customHeight="1" x14ac:dyDescent="0.3"/>
    <row r="110" ht="30.75" customHeight="1" x14ac:dyDescent="0.3"/>
    <row r="111" ht="30.75" customHeight="1" x14ac:dyDescent="0.3"/>
    <row r="112" ht="30.75" customHeight="1" x14ac:dyDescent="0.3"/>
    <row r="113" ht="30.75" customHeight="1" x14ac:dyDescent="0.3"/>
    <row r="114" ht="30.75" customHeight="1" x14ac:dyDescent="0.3"/>
    <row r="115" ht="30.75" customHeight="1" x14ac:dyDescent="0.3"/>
    <row r="116" ht="30.75" customHeight="1" x14ac:dyDescent="0.3"/>
    <row r="117" ht="30.75" customHeight="1" x14ac:dyDescent="0.3"/>
    <row r="118" ht="30.75" customHeight="1" x14ac:dyDescent="0.3"/>
    <row r="119" ht="30.75" customHeight="1" x14ac:dyDescent="0.3"/>
    <row r="120" ht="30.75" customHeight="1" x14ac:dyDescent="0.3"/>
    <row r="121" ht="30.75" customHeight="1" x14ac:dyDescent="0.3"/>
    <row r="122" ht="30.75" customHeight="1" x14ac:dyDescent="0.3"/>
    <row r="123" ht="30.75" customHeight="1" x14ac:dyDescent="0.3"/>
    <row r="124" ht="30.75" customHeight="1" x14ac:dyDescent="0.3"/>
    <row r="125" ht="30.75" customHeight="1" x14ac:dyDescent="0.3"/>
    <row r="126" ht="30.75" customHeight="1" x14ac:dyDescent="0.3"/>
    <row r="127" ht="30.75" customHeight="1" x14ac:dyDescent="0.3"/>
    <row r="128" ht="30.75" customHeight="1" x14ac:dyDescent="0.3"/>
    <row r="129" ht="30.75" customHeight="1" x14ac:dyDescent="0.3"/>
    <row r="130" ht="30.75" customHeight="1" x14ac:dyDescent="0.3"/>
    <row r="131" ht="30.75" customHeight="1" x14ac:dyDescent="0.3"/>
    <row r="132" ht="30.75" customHeight="1" x14ac:dyDescent="0.3"/>
    <row r="133" ht="30.75" customHeight="1" x14ac:dyDescent="0.3"/>
    <row r="134" ht="30.75" customHeight="1" x14ac:dyDescent="0.3"/>
    <row r="135" ht="30.75" customHeight="1" x14ac:dyDescent="0.3"/>
    <row r="136" ht="30.75" customHeight="1" x14ac:dyDescent="0.3"/>
    <row r="137" ht="30.75" customHeight="1" x14ac:dyDescent="0.3"/>
    <row r="138" ht="30.75" customHeight="1" x14ac:dyDescent="0.3"/>
    <row r="139" ht="30.75" customHeight="1" x14ac:dyDescent="0.3"/>
    <row r="140" ht="30.75" customHeight="1" x14ac:dyDescent="0.3"/>
    <row r="141" ht="30.75" customHeight="1" x14ac:dyDescent="0.3"/>
    <row r="142" ht="30.75" customHeight="1" x14ac:dyDescent="0.3"/>
    <row r="143" ht="30.75" customHeight="1" x14ac:dyDescent="0.3"/>
    <row r="144" ht="30.75" customHeight="1" x14ac:dyDescent="0.3"/>
    <row r="145" ht="30.75" customHeight="1" x14ac:dyDescent="0.3"/>
    <row r="146" ht="30.75" customHeight="1" x14ac:dyDescent="0.3"/>
    <row r="147" ht="30.75" customHeight="1" x14ac:dyDescent="0.3"/>
    <row r="148" ht="30.75" customHeight="1" x14ac:dyDescent="0.3"/>
    <row r="149" ht="30.75" customHeight="1" x14ac:dyDescent="0.3"/>
    <row r="150" ht="30.75" customHeight="1" x14ac:dyDescent="0.3"/>
    <row r="151" ht="30.75" customHeight="1" x14ac:dyDescent="0.3"/>
    <row r="152" ht="30.75" customHeight="1" x14ac:dyDescent="0.3"/>
    <row r="153" ht="30.75" customHeight="1" x14ac:dyDescent="0.3"/>
    <row r="154" ht="30.75" customHeight="1" x14ac:dyDescent="0.3"/>
    <row r="155" ht="30.75" customHeight="1" x14ac:dyDescent="0.3"/>
    <row r="156" ht="30.75" customHeight="1" x14ac:dyDescent="0.3"/>
    <row r="157" ht="30.75" customHeight="1" x14ac:dyDescent="0.3"/>
    <row r="158" ht="30.75" customHeight="1" x14ac:dyDescent="0.3"/>
    <row r="159" ht="30.75" customHeight="1" x14ac:dyDescent="0.3"/>
    <row r="160" ht="30.75" customHeight="1" x14ac:dyDescent="0.3"/>
    <row r="161" ht="30.75" customHeight="1" x14ac:dyDescent="0.3"/>
    <row r="162" ht="30.75" customHeight="1" x14ac:dyDescent="0.3"/>
    <row r="163" ht="30.75" customHeight="1" x14ac:dyDescent="0.3"/>
    <row r="164" ht="30.75" customHeight="1" x14ac:dyDescent="0.3"/>
    <row r="165" ht="30.75" customHeight="1" x14ac:dyDescent="0.3"/>
    <row r="166" ht="30.75" customHeight="1" x14ac:dyDescent="0.3"/>
    <row r="167" ht="30.75" customHeight="1" x14ac:dyDescent="0.3"/>
    <row r="168" ht="30.75" customHeight="1" x14ac:dyDescent="0.3"/>
    <row r="169" ht="30.75" customHeight="1" x14ac:dyDescent="0.3"/>
    <row r="170" ht="30.75" customHeight="1" x14ac:dyDescent="0.3"/>
    <row r="171" ht="30.75" customHeight="1" x14ac:dyDescent="0.3"/>
    <row r="172" ht="30.75" customHeight="1" x14ac:dyDescent="0.3"/>
    <row r="173" ht="30.75" customHeight="1" x14ac:dyDescent="0.3"/>
    <row r="174" ht="30.75" customHeight="1" x14ac:dyDescent="0.3"/>
    <row r="175" ht="30.75" customHeight="1" x14ac:dyDescent="0.3"/>
    <row r="176" ht="30.75" customHeight="1" x14ac:dyDescent="0.3"/>
    <row r="177" ht="30.75" customHeight="1" x14ac:dyDescent="0.3"/>
    <row r="178" ht="30.75" customHeight="1" x14ac:dyDescent="0.3"/>
    <row r="179" ht="30.75" customHeight="1" x14ac:dyDescent="0.3"/>
    <row r="180" ht="30.75" customHeight="1" x14ac:dyDescent="0.3"/>
    <row r="181" ht="30.75" customHeight="1" x14ac:dyDescent="0.3"/>
    <row r="182" ht="30.75" customHeight="1" x14ac:dyDescent="0.3"/>
    <row r="183" ht="30.75" customHeight="1" x14ac:dyDescent="0.3"/>
    <row r="184" ht="30.75" customHeight="1" x14ac:dyDescent="0.3"/>
    <row r="185" ht="30.75" customHeight="1" x14ac:dyDescent="0.3"/>
    <row r="186" ht="30.75" customHeight="1" x14ac:dyDescent="0.3"/>
    <row r="187" ht="30.75" customHeight="1" x14ac:dyDescent="0.3"/>
    <row r="188" ht="30.75" customHeight="1" x14ac:dyDescent="0.3"/>
    <row r="189" ht="30.75" customHeight="1" x14ac:dyDescent="0.3"/>
    <row r="190" ht="30.75" customHeight="1" x14ac:dyDescent="0.3"/>
    <row r="191" ht="30.75" customHeight="1" x14ac:dyDescent="0.3"/>
    <row r="192" ht="30.75" customHeight="1" x14ac:dyDescent="0.3"/>
    <row r="193" ht="30.75" customHeight="1" x14ac:dyDescent="0.3"/>
    <row r="194" ht="30.75" customHeight="1" x14ac:dyDescent="0.3"/>
    <row r="195" ht="30.75" customHeight="1" x14ac:dyDescent="0.3"/>
    <row r="196" ht="30.75" customHeight="1" x14ac:dyDescent="0.3"/>
    <row r="197" ht="30.75" customHeight="1" x14ac:dyDescent="0.3"/>
    <row r="198" ht="30.75" customHeight="1" x14ac:dyDescent="0.3"/>
    <row r="199" ht="30.75" customHeight="1" x14ac:dyDescent="0.3"/>
    <row r="200" ht="30.75" customHeight="1" x14ac:dyDescent="0.3"/>
    <row r="201" ht="30.75" customHeight="1" x14ac:dyDescent="0.3"/>
    <row r="202" ht="30.75" customHeight="1" x14ac:dyDescent="0.3"/>
    <row r="203" ht="30.75" customHeight="1" x14ac:dyDescent="0.3"/>
    <row r="204" ht="30.75" customHeight="1" x14ac:dyDescent="0.3"/>
    <row r="205" ht="30.75" customHeight="1" x14ac:dyDescent="0.3"/>
    <row r="206" ht="30.75" customHeight="1" x14ac:dyDescent="0.3"/>
    <row r="207" ht="30.75" customHeight="1" x14ac:dyDescent="0.3"/>
    <row r="208" ht="30.75" customHeight="1" x14ac:dyDescent="0.3"/>
    <row r="209" ht="30.75" customHeight="1" x14ac:dyDescent="0.3"/>
    <row r="210" ht="30.75" customHeight="1" x14ac:dyDescent="0.3"/>
    <row r="211" ht="30.75" customHeight="1" x14ac:dyDescent="0.3"/>
    <row r="212" ht="30.75" customHeight="1" x14ac:dyDescent="0.3"/>
    <row r="213" ht="30.75" customHeight="1" x14ac:dyDescent="0.3"/>
    <row r="214" ht="30.75" customHeight="1" x14ac:dyDescent="0.3"/>
    <row r="215" ht="48" customHeight="1" x14ac:dyDescent="0.3"/>
    <row r="216" ht="30.75" customHeight="1" x14ac:dyDescent="0.3"/>
    <row r="217" ht="30.75" customHeight="1" x14ac:dyDescent="0.3"/>
    <row r="218" ht="30.75" customHeight="1" x14ac:dyDescent="0.3"/>
    <row r="219" ht="39.75" customHeight="1" x14ac:dyDescent="0.3"/>
    <row r="220" ht="30.75" customHeight="1" x14ac:dyDescent="0.3"/>
    <row r="221" ht="30.75" customHeight="1" x14ac:dyDescent="0.3"/>
    <row r="222" ht="30.75" customHeight="1" x14ac:dyDescent="0.3"/>
    <row r="223" ht="30.75" customHeight="1" x14ac:dyDescent="0.3"/>
    <row r="224" ht="30.75" customHeight="1" x14ac:dyDescent="0.3"/>
    <row r="225" ht="30.75" customHeight="1" x14ac:dyDescent="0.3"/>
    <row r="226" ht="30.75" customHeight="1" x14ac:dyDescent="0.3"/>
    <row r="227" ht="41.25" customHeight="1" x14ac:dyDescent="0.3"/>
    <row r="228" ht="30.75" customHeight="1" x14ac:dyDescent="0.3"/>
    <row r="229" ht="30.75" customHeight="1" x14ac:dyDescent="0.3"/>
    <row r="230" ht="30.75" customHeight="1" x14ac:dyDescent="0.3"/>
    <row r="231" ht="30.75" customHeight="1" x14ac:dyDescent="0.3"/>
    <row r="232" ht="30.75" customHeight="1" x14ac:dyDescent="0.3"/>
    <row r="233" ht="30.75" customHeight="1" x14ac:dyDescent="0.3"/>
    <row r="234" ht="30.75" customHeight="1" x14ac:dyDescent="0.3"/>
    <row r="235" ht="30.75" customHeight="1" x14ac:dyDescent="0.3"/>
    <row r="236" ht="30.75" customHeight="1" x14ac:dyDescent="0.3"/>
    <row r="237" ht="30.75" customHeight="1" x14ac:dyDescent="0.3"/>
    <row r="238" ht="30.75" customHeight="1" x14ac:dyDescent="0.3"/>
    <row r="239" ht="30.75" customHeight="1" x14ac:dyDescent="0.3"/>
    <row r="240" ht="30.75" customHeight="1" x14ac:dyDescent="0.3"/>
    <row r="241" ht="30.75" customHeight="1" x14ac:dyDescent="0.3"/>
    <row r="242" ht="30.75" customHeight="1" x14ac:dyDescent="0.3"/>
    <row r="243" ht="30.75" customHeight="1" x14ac:dyDescent="0.3"/>
    <row r="244" ht="30.75" customHeight="1" x14ac:dyDescent="0.3"/>
    <row r="245" ht="30.75" customHeight="1" x14ac:dyDescent="0.3"/>
    <row r="246" ht="30.75" customHeight="1" x14ac:dyDescent="0.3"/>
    <row r="247" ht="30.75" customHeight="1" x14ac:dyDescent="0.3"/>
    <row r="248" ht="30.75" customHeight="1" x14ac:dyDescent="0.3"/>
    <row r="249" ht="30.75" customHeight="1" x14ac:dyDescent="0.3"/>
    <row r="250" ht="30.75" customHeight="1" x14ac:dyDescent="0.3"/>
    <row r="251" ht="30.75" customHeight="1" x14ac:dyDescent="0.3"/>
    <row r="252" ht="30.75" customHeight="1" x14ac:dyDescent="0.3"/>
    <row r="253" ht="30.75" customHeight="1" x14ac:dyDescent="0.3"/>
    <row r="254" ht="30.75" customHeight="1" x14ac:dyDescent="0.3"/>
    <row r="255" ht="30.75" customHeight="1" x14ac:dyDescent="0.3"/>
    <row r="256" ht="30.75" customHeight="1" x14ac:dyDescent="0.3"/>
    <row r="257" ht="30.75" customHeight="1" x14ac:dyDescent="0.3"/>
    <row r="258" ht="30.75" customHeight="1" x14ac:dyDescent="0.3"/>
    <row r="259" ht="30.75" customHeight="1" x14ac:dyDescent="0.3"/>
    <row r="260" ht="30.75" customHeight="1" x14ac:dyDescent="0.3"/>
    <row r="261" ht="30.75" customHeight="1" x14ac:dyDescent="0.3"/>
    <row r="262" ht="30.75" customHeight="1" x14ac:dyDescent="0.3"/>
    <row r="263" ht="30.75" customHeight="1" x14ac:dyDescent="0.3"/>
    <row r="264" ht="30.75" customHeight="1" x14ac:dyDescent="0.3"/>
    <row r="265" ht="30.75" customHeight="1" x14ac:dyDescent="0.3"/>
    <row r="266" ht="30.75" customHeight="1" x14ac:dyDescent="0.3"/>
    <row r="267" ht="30.75" customHeight="1" x14ac:dyDescent="0.3"/>
    <row r="268" ht="30.75" customHeight="1" x14ac:dyDescent="0.3"/>
    <row r="269" ht="30.75" customHeight="1" x14ac:dyDescent="0.3"/>
    <row r="270" ht="30.75" customHeight="1" x14ac:dyDescent="0.3"/>
    <row r="271" ht="30.75" customHeight="1" x14ac:dyDescent="0.3"/>
    <row r="272" ht="30.75" customHeight="1" x14ac:dyDescent="0.3"/>
    <row r="273" ht="30.75" customHeight="1" x14ac:dyDescent="0.3"/>
    <row r="274" ht="30.75" customHeight="1" x14ac:dyDescent="0.3"/>
    <row r="275" ht="30.75" customHeight="1" x14ac:dyDescent="0.3"/>
    <row r="276" ht="30.75" customHeight="1" x14ac:dyDescent="0.3"/>
    <row r="277" ht="30.75" customHeight="1" x14ac:dyDescent="0.3"/>
    <row r="278" ht="30.75" customHeight="1" x14ac:dyDescent="0.3"/>
    <row r="279" ht="30.75" customHeight="1" x14ac:dyDescent="0.3"/>
    <row r="280" ht="30.75" customHeight="1" x14ac:dyDescent="0.3"/>
    <row r="281" ht="30.75" customHeight="1" x14ac:dyDescent="0.3"/>
    <row r="282" ht="30.75" customHeight="1" x14ac:dyDescent="0.3"/>
    <row r="283" ht="30.75" customHeight="1" x14ac:dyDescent="0.3"/>
    <row r="284" ht="42.75" customHeight="1" x14ac:dyDescent="0.3"/>
    <row r="285" ht="30.75" customHeight="1" x14ac:dyDescent="0.3"/>
    <row r="286" ht="44.25" customHeight="1" x14ac:dyDescent="0.3"/>
    <row r="287" ht="30.75" customHeight="1" x14ac:dyDescent="0.3"/>
    <row r="288" ht="40.5" customHeight="1" x14ac:dyDescent="0.3"/>
    <row r="289" ht="39.75" customHeight="1" x14ac:dyDescent="0.3"/>
    <row r="290" ht="30.75" customHeight="1" x14ac:dyDescent="0.3"/>
    <row r="291" ht="30.75" customHeight="1" x14ac:dyDescent="0.3"/>
    <row r="292" ht="30.75" customHeight="1" x14ac:dyDescent="0.3"/>
    <row r="293" ht="30.75" customHeight="1" x14ac:dyDescent="0.3"/>
    <row r="294" ht="30.75" customHeight="1" x14ac:dyDescent="0.3"/>
    <row r="295" ht="30.75" customHeight="1" x14ac:dyDescent="0.3"/>
    <row r="296" ht="30.75" customHeight="1" x14ac:dyDescent="0.3"/>
    <row r="297" ht="30.75" customHeight="1" x14ac:dyDescent="0.3"/>
    <row r="298" ht="30.75" customHeight="1" x14ac:dyDescent="0.3"/>
    <row r="299" ht="45.75" customHeight="1" x14ac:dyDescent="0.3"/>
    <row r="300" ht="30.75" customHeight="1" x14ac:dyDescent="0.3"/>
    <row r="301" ht="30.75" customHeight="1" x14ac:dyDescent="0.3"/>
    <row r="302" ht="30.75" customHeight="1" x14ac:dyDescent="0.3"/>
    <row r="303" ht="42" customHeight="1" x14ac:dyDescent="0.3"/>
    <row r="304" ht="30.75" customHeight="1" x14ac:dyDescent="0.3"/>
    <row r="305" ht="30.75" customHeight="1" x14ac:dyDescent="0.3"/>
    <row r="306" ht="30.75" customHeight="1" x14ac:dyDescent="0.3"/>
  </sheetData>
  <mergeCells count="154">
    <mergeCell ref="A73:A76"/>
    <mergeCell ref="I74:K74"/>
    <mergeCell ref="L74:N74"/>
    <mergeCell ref="O74:Q74"/>
    <mergeCell ref="F75:Q75"/>
    <mergeCell ref="F76:Q76"/>
    <mergeCell ref="A66:A68"/>
    <mergeCell ref="L88:N88"/>
    <mergeCell ref="O88:Q88"/>
    <mergeCell ref="A77:A88"/>
    <mergeCell ref="B77:B78"/>
    <mergeCell ref="F78:H78"/>
    <mergeCell ref="I78:K78"/>
    <mergeCell ref="L78:N78"/>
    <mergeCell ref="O78:Q78"/>
    <mergeCell ref="B79:B84"/>
    <mergeCell ref="B87:B88"/>
    <mergeCell ref="F88:H88"/>
    <mergeCell ref="I88:K88"/>
    <mergeCell ref="F68:Q68"/>
    <mergeCell ref="A69:A70"/>
    <mergeCell ref="A71:A72"/>
    <mergeCell ref="F71:K71"/>
    <mergeCell ref="L71:Q71"/>
    <mergeCell ref="F72:Q72"/>
    <mergeCell ref="F61:H61"/>
    <mergeCell ref="I61:K61"/>
    <mergeCell ref="L61:N61"/>
    <mergeCell ref="O61:Q61"/>
    <mergeCell ref="F62:H62"/>
    <mergeCell ref="I62:K62"/>
    <mergeCell ref="L62:N62"/>
    <mergeCell ref="O62:Q62"/>
    <mergeCell ref="F67:H67"/>
    <mergeCell ref="F64:H64"/>
    <mergeCell ref="B63:B64"/>
    <mergeCell ref="I65:K65"/>
    <mergeCell ref="L65:N65"/>
    <mergeCell ref="O65:Q65"/>
    <mergeCell ref="A57:A59"/>
    <mergeCell ref="A60:A65"/>
    <mergeCell ref="F60:H60"/>
    <mergeCell ref="I60:K60"/>
    <mergeCell ref="L60:N60"/>
    <mergeCell ref="O60:Q60"/>
    <mergeCell ref="F63:H63"/>
    <mergeCell ref="I63:K63"/>
    <mergeCell ref="L63:N63"/>
    <mergeCell ref="O63:Q63"/>
    <mergeCell ref="F65:H65"/>
    <mergeCell ref="F59:K59"/>
    <mergeCell ref="L59:Q59"/>
    <mergeCell ref="A45:A46"/>
    <mergeCell ref="F45:Q45"/>
    <mergeCell ref="F46:K46"/>
    <mergeCell ref="L46:Q46"/>
    <mergeCell ref="A47:A55"/>
    <mergeCell ref="F56:Q56"/>
    <mergeCell ref="A40:A41"/>
    <mergeCell ref="A42:A44"/>
    <mergeCell ref="F42:H42"/>
    <mergeCell ref="I42:K42"/>
    <mergeCell ref="L42:N42"/>
    <mergeCell ref="O42:Q42"/>
    <mergeCell ref="F43:Q43"/>
    <mergeCell ref="F44:K44"/>
    <mergeCell ref="L44:Q44"/>
    <mergeCell ref="F38:H38"/>
    <mergeCell ref="I38:K38"/>
    <mergeCell ref="L38:N38"/>
    <mergeCell ref="F39:H39"/>
    <mergeCell ref="I39:K39"/>
    <mergeCell ref="L39:N39"/>
    <mergeCell ref="A35:A39"/>
    <mergeCell ref="F35:H35"/>
    <mergeCell ref="I35:K35"/>
    <mergeCell ref="L35:N35"/>
    <mergeCell ref="O35:Q35"/>
    <mergeCell ref="F36:H36"/>
    <mergeCell ref="I36:K36"/>
    <mergeCell ref="L36:N36"/>
    <mergeCell ref="O36:Q36"/>
    <mergeCell ref="F37:H37"/>
    <mergeCell ref="O29:Q29"/>
    <mergeCell ref="F30:Q30"/>
    <mergeCell ref="F31:Q31"/>
    <mergeCell ref="F33:K33"/>
    <mergeCell ref="L33:Q33"/>
    <mergeCell ref="F34:Q34"/>
    <mergeCell ref="I37:K37"/>
    <mergeCell ref="L37:N37"/>
    <mergeCell ref="I26:K26"/>
    <mergeCell ref="L26:N26"/>
    <mergeCell ref="O26:Q26"/>
    <mergeCell ref="A27:A34"/>
    <mergeCell ref="F27:K27"/>
    <mergeCell ref="L27:Q27"/>
    <mergeCell ref="F28:Q28"/>
    <mergeCell ref="F29:H29"/>
    <mergeCell ref="I29:K29"/>
    <mergeCell ref="L29:N29"/>
    <mergeCell ref="A23:A26"/>
    <mergeCell ref="F24:H24"/>
    <mergeCell ref="I24:K24"/>
    <mergeCell ref="L24:N24"/>
    <mergeCell ref="O24:Q24"/>
    <mergeCell ref="F25:H25"/>
    <mergeCell ref="I25:K25"/>
    <mergeCell ref="L25:N25"/>
    <mergeCell ref="O25:Q25"/>
    <mergeCell ref="F26:H26"/>
    <mergeCell ref="I11:K11"/>
    <mergeCell ref="L11:N11"/>
    <mergeCell ref="O11:Q11"/>
    <mergeCell ref="F18:K18"/>
    <mergeCell ref="L18:Q18"/>
    <mergeCell ref="F19:Q19"/>
    <mergeCell ref="A20:A22"/>
    <mergeCell ref="F21:K21"/>
    <mergeCell ref="L21:Q21"/>
    <mergeCell ref="A12:A15"/>
    <mergeCell ref="A16:A19"/>
    <mergeCell ref="F16:H16"/>
    <mergeCell ref="I16:K16"/>
    <mergeCell ref="L16:N16"/>
    <mergeCell ref="O16:Q16"/>
    <mergeCell ref="F17:H17"/>
    <mergeCell ref="I17:K17"/>
    <mergeCell ref="L17:N17"/>
    <mergeCell ref="O17:Q17"/>
    <mergeCell ref="F74:H74"/>
    <mergeCell ref="B1:N1"/>
    <mergeCell ref="O1:Q1"/>
    <mergeCell ref="G3:H3"/>
    <mergeCell ref="F5:H5"/>
    <mergeCell ref="I5:K5"/>
    <mergeCell ref="L5:N5"/>
    <mergeCell ref="O5:Q5"/>
    <mergeCell ref="F7:Q7"/>
    <mergeCell ref="B8:B9"/>
    <mergeCell ref="F8:H8"/>
    <mergeCell ref="I8:K8"/>
    <mergeCell ref="L8:N8"/>
    <mergeCell ref="O8:Q8"/>
    <mergeCell ref="F9:H9"/>
    <mergeCell ref="I9:K9"/>
    <mergeCell ref="L9:N9"/>
    <mergeCell ref="O9:Q9"/>
    <mergeCell ref="B10:B11"/>
    <mergeCell ref="F10:H10"/>
    <mergeCell ref="I10:K10"/>
    <mergeCell ref="L10:N10"/>
    <mergeCell ref="O10:Q10"/>
    <mergeCell ref="F11:H11"/>
  </mergeCell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4"/>
  <dimension ref="A1:A2"/>
  <sheetViews>
    <sheetView workbookViewId="0">
      <selection activeCell="A2" sqref="A2"/>
    </sheetView>
  </sheetViews>
  <sheetFormatPr baseColWidth="10" defaultRowHeight="14.4" x14ac:dyDescent="0.3"/>
  <sheetData>
    <row r="1" spans="1:1" x14ac:dyDescent="0.3"/>
    <row r="2" spans="1:1" x14ac:dyDescent="0.3">
      <c r="A2" t="s">
        <v>493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10</vt:i4>
      </vt:variant>
    </vt:vector>
  </HeadingPairs>
  <TitlesOfParts>
    <vt:vector size="18" baseType="lpstr">
      <vt:lpstr>TDB 2019</vt:lpstr>
      <vt:lpstr>TDB 2020</vt:lpstr>
      <vt:lpstr>TDB 2021</vt:lpstr>
      <vt:lpstr>TDB 2022</vt:lpstr>
      <vt:lpstr>TDB 2023</vt:lpstr>
      <vt:lpstr>TDB 2024</vt:lpstr>
      <vt:lpstr>TDB 2025</vt:lpstr>
      <vt:lpstr>Commentaires TDB 2022</vt:lpstr>
      <vt:lpstr>'TDB 2019'!Impression_des_titres</vt:lpstr>
      <vt:lpstr>'TDB 2020'!Impression_des_titres</vt:lpstr>
      <vt:lpstr>'TDB 2021'!Impression_des_titres</vt:lpstr>
      <vt:lpstr>'TDB 2022'!Impression_des_titres</vt:lpstr>
      <vt:lpstr>'TDB 2023'!Impression_des_titres</vt:lpstr>
      <vt:lpstr>'TDB 2019'!Zone_d_impression</vt:lpstr>
      <vt:lpstr>'TDB 2020'!Zone_d_impression</vt:lpstr>
      <vt:lpstr>'TDB 2021'!Zone_d_impression</vt:lpstr>
      <vt:lpstr>'TDB 2022'!Zone_d_impression</vt:lpstr>
      <vt:lpstr>'TDB 2023'!Zone_d_impression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2018-11-19T10:40:49Z</dcterms:created>
  <dcterms:modified xsi:type="dcterms:W3CDTF">2025-05-07T23:18:36Z</dcterms:modified>
</cp:coreProperties>
</file>